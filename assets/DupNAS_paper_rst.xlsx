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457f1455059572d/桌面/git-repo/OpDup_paper/"/>
    </mc:Choice>
  </mc:AlternateContent>
  <xr:revisionPtr revIDLastSave="68" documentId="13_ncr:1_{1DF42F18-ED4A-435B-8DEB-186265007E0E}" xr6:coauthVersionLast="47" xr6:coauthVersionMax="47" xr10:uidLastSave="{45AFA7FF-8FE4-4F3B-AFD5-D7964602EE0C}"/>
  <bookViews>
    <workbookView xWindow="-98" yWindow="-98" windowWidth="21795" windowHeight="12975" activeTab="2" xr2:uid="{31400C18-79E8-4319-9AAD-F554D0EF61C3}"/>
  </bookViews>
  <sheets>
    <sheet name="PeakMem" sheetId="5" r:id="rId1"/>
    <sheet name="Accuracy" sheetId="1" r:id="rId2"/>
    <sheet name="Inference lat." sheetId="2" r:id="rId3"/>
    <sheet name="Search time" sheetId="3" r:id="rId4"/>
    <sheet name="reduction_dist.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" l="1"/>
  <c r="P25" i="2"/>
  <c r="P26" i="2"/>
  <c r="P24" i="2"/>
  <c r="P15" i="2"/>
  <c r="P16" i="2"/>
  <c r="P14" i="2"/>
  <c r="P4" i="2"/>
  <c r="P5" i="2"/>
  <c r="P3" i="2"/>
  <c r="S25" i="2"/>
  <c r="R25" i="2"/>
  <c r="K15" i="2"/>
  <c r="S15" i="2"/>
  <c r="R15" i="2"/>
  <c r="S4" i="2"/>
  <c r="R4" i="2"/>
  <c r="K4" i="2"/>
  <c r="L25" i="2"/>
  <c r="L15" i="2"/>
  <c r="L4" i="2"/>
  <c r="R42" i="5" l="1"/>
  <c r="Q42" i="5"/>
  <c r="Q41" i="5"/>
  <c r="R41" i="5"/>
  <c r="R40" i="5"/>
  <c r="Q40" i="5"/>
  <c r="S3" i="3" l="1"/>
  <c r="R3" i="3"/>
  <c r="P37" i="3"/>
  <c r="O37" i="3"/>
  <c r="P36" i="3"/>
  <c r="O36" i="3"/>
  <c r="P35" i="3"/>
  <c r="S16" i="3" s="1"/>
  <c r="O35" i="3"/>
  <c r="S15" i="3" s="1"/>
  <c r="P30" i="3"/>
  <c r="O30" i="3"/>
  <c r="P29" i="3"/>
  <c r="O29" i="3"/>
  <c r="P28" i="3"/>
  <c r="Q10" i="3" s="1"/>
  <c r="O28" i="3"/>
  <c r="S9" i="3" s="1"/>
  <c r="P23" i="3"/>
  <c r="P22" i="3"/>
  <c r="S4" i="3" s="1"/>
  <c r="P21" i="3"/>
  <c r="Q4" i="3" s="1"/>
  <c r="O23" i="3"/>
  <c r="O22" i="3"/>
  <c r="O21" i="3"/>
  <c r="R10" i="3" l="1"/>
  <c r="Q16" i="3"/>
  <c r="S10" i="3"/>
  <c r="R15" i="3"/>
  <c r="R4" i="3"/>
  <c r="R9" i="3"/>
  <c r="Q15" i="3"/>
  <c r="R16" i="3"/>
  <c r="T22" i="3"/>
  <c r="U22" i="3"/>
  <c r="Q9" i="3"/>
  <c r="U23" i="3"/>
  <c r="T23" i="3"/>
  <c r="Q3" i="3"/>
  <c r="K25" i="2"/>
  <c r="K35" i="2" l="1"/>
  <c r="J17" i="1"/>
  <c r="I17" i="1"/>
  <c r="H17" i="1"/>
  <c r="J16" i="1"/>
  <c r="I16" i="1"/>
  <c r="H16" i="1"/>
  <c r="J15" i="1"/>
  <c r="I15" i="1"/>
  <c r="H15" i="1"/>
  <c r="J11" i="1"/>
  <c r="I11" i="1"/>
  <c r="H11" i="1"/>
  <c r="J10" i="1"/>
  <c r="I10" i="1"/>
  <c r="H10" i="1"/>
  <c r="J9" i="1"/>
  <c r="I9" i="1"/>
  <c r="H9" i="1"/>
  <c r="I5" i="1"/>
  <c r="J5" i="1"/>
  <c r="H5" i="1"/>
  <c r="I4" i="1"/>
  <c r="J4" i="1"/>
  <c r="H4" i="1"/>
  <c r="I3" i="1"/>
  <c r="J3" i="1"/>
  <c r="H3" i="1"/>
  <c r="L26" i="5"/>
  <c r="M26" i="5"/>
  <c r="L27" i="5"/>
  <c r="M27" i="5"/>
  <c r="L28" i="5"/>
  <c r="M28" i="5"/>
  <c r="L29" i="5"/>
  <c r="M29" i="5"/>
  <c r="L30" i="5"/>
  <c r="M30" i="5"/>
  <c r="L31" i="5"/>
  <c r="M31" i="5"/>
  <c r="L32" i="5"/>
  <c r="M32" i="5"/>
  <c r="L33" i="5"/>
  <c r="M33" i="5"/>
  <c r="L34" i="5"/>
  <c r="M34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G32" i="5"/>
  <c r="K32" i="5"/>
  <c r="C33" i="5"/>
  <c r="G33" i="5"/>
  <c r="K33" i="5"/>
  <c r="C34" i="5"/>
  <c r="G34" i="5"/>
  <c r="K34" i="5"/>
  <c r="K28" i="5"/>
  <c r="C29" i="5"/>
  <c r="G29" i="5"/>
  <c r="K29" i="5"/>
  <c r="C30" i="5"/>
  <c r="G30" i="5"/>
  <c r="K30" i="5"/>
  <c r="C31" i="5"/>
  <c r="G31" i="5"/>
  <c r="K31" i="5"/>
  <c r="C32" i="5"/>
  <c r="C27" i="5"/>
  <c r="G27" i="5"/>
  <c r="K27" i="5"/>
  <c r="C28" i="5"/>
  <c r="G28" i="5"/>
  <c r="K26" i="5"/>
  <c r="G26" i="5"/>
  <c r="C26" i="5"/>
  <c r="K23" i="5"/>
  <c r="L15" i="5"/>
  <c r="M15" i="5"/>
  <c r="L16" i="5"/>
  <c r="M16" i="5"/>
  <c r="L17" i="5"/>
  <c r="M17" i="5"/>
  <c r="L18" i="5"/>
  <c r="M18" i="5"/>
  <c r="L19" i="5"/>
  <c r="M19" i="5"/>
  <c r="L20" i="5"/>
  <c r="M20" i="5"/>
  <c r="L21" i="5"/>
  <c r="M21" i="5"/>
  <c r="L22" i="5"/>
  <c r="M22" i="5"/>
  <c r="L23" i="5"/>
  <c r="M23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G23" i="5"/>
  <c r="C23" i="5"/>
  <c r="K22" i="5"/>
  <c r="G22" i="5"/>
  <c r="C22" i="5"/>
  <c r="K21" i="5"/>
  <c r="G21" i="5"/>
  <c r="C21" i="5"/>
  <c r="K20" i="5"/>
  <c r="G20" i="5"/>
  <c r="C20" i="5"/>
  <c r="K19" i="5"/>
  <c r="G19" i="5"/>
  <c r="C19" i="5"/>
  <c r="K18" i="5"/>
  <c r="G18" i="5"/>
  <c r="C18" i="5"/>
  <c r="K17" i="5"/>
  <c r="G17" i="5"/>
  <c r="C17" i="5"/>
  <c r="K16" i="5"/>
  <c r="G16" i="5"/>
  <c r="C16" i="5"/>
  <c r="K15" i="5"/>
  <c r="G15" i="5"/>
  <c r="C15" i="5"/>
  <c r="L12" i="5"/>
  <c r="M12" i="5"/>
  <c r="K12" i="5"/>
  <c r="H12" i="5"/>
  <c r="I12" i="5"/>
  <c r="G12" i="5"/>
  <c r="D12" i="5"/>
  <c r="E12" i="5"/>
  <c r="C12" i="5"/>
  <c r="L11" i="5"/>
  <c r="M11" i="5"/>
  <c r="K11" i="5"/>
  <c r="H11" i="5"/>
  <c r="I11" i="5"/>
  <c r="G11" i="5"/>
  <c r="D11" i="5"/>
  <c r="E11" i="5"/>
  <c r="C11" i="5"/>
  <c r="L10" i="5"/>
  <c r="M10" i="5"/>
  <c r="K10" i="5"/>
  <c r="H10" i="5"/>
  <c r="I10" i="5"/>
  <c r="G10" i="5"/>
  <c r="D10" i="5"/>
  <c r="E10" i="5"/>
  <c r="C10" i="5"/>
  <c r="L9" i="5"/>
  <c r="M9" i="5"/>
  <c r="K9" i="5"/>
  <c r="H9" i="5"/>
  <c r="I9" i="5"/>
  <c r="G9" i="5"/>
  <c r="D9" i="5"/>
  <c r="E9" i="5"/>
  <c r="C9" i="5"/>
  <c r="L8" i="5"/>
  <c r="M8" i="5"/>
  <c r="K8" i="5"/>
  <c r="H8" i="5"/>
  <c r="I8" i="5"/>
  <c r="G8" i="5"/>
  <c r="D8" i="5"/>
  <c r="E8" i="5"/>
  <c r="C8" i="5"/>
  <c r="L7" i="5"/>
  <c r="M7" i="5"/>
  <c r="K7" i="5"/>
  <c r="H7" i="5"/>
  <c r="I7" i="5"/>
  <c r="G7" i="5"/>
  <c r="C7" i="5"/>
  <c r="D7" i="5"/>
  <c r="E7" i="5"/>
  <c r="D6" i="5"/>
  <c r="E6" i="5"/>
  <c r="H6" i="5"/>
  <c r="I6" i="5"/>
  <c r="L6" i="5"/>
  <c r="M6" i="5"/>
  <c r="K6" i="5"/>
  <c r="G6" i="5"/>
  <c r="C6" i="5"/>
  <c r="L5" i="5"/>
  <c r="L49" i="5" s="1"/>
  <c r="M5" i="5"/>
  <c r="H5" i="5"/>
  <c r="I5" i="5"/>
  <c r="D5" i="5"/>
  <c r="E5" i="5"/>
  <c r="K5" i="5"/>
  <c r="K49" i="5" s="1"/>
  <c r="G5" i="5"/>
  <c r="C5" i="5"/>
  <c r="L4" i="5"/>
  <c r="M4" i="5"/>
  <c r="K4" i="5"/>
  <c r="H4" i="5"/>
  <c r="I4" i="5"/>
  <c r="G4" i="5"/>
  <c r="D4" i="5"/>
  <c r="E4" i="5"/>
  <c r="C4" i="5"/>
  <c r="E4" i="3"/>
  <c r="H4" i="3" s="1"/>
  <c r="E5" i="3"/>
  <c r="H5" i="3" s="1"/>
  <c r="E6" i="3"/>
  <c r="H6" i="3" s="1"/>
  <c r="E9" i="3"/>
  <c r="H9" i="3" s="1"/>
  <c r="E10" i="3"/>
  <c r="H10" i="3" s="1"/>
  <c r="E11" i="3"/>
  <c r="H11" i="3" s="1"/>
  <c r="E12" i="3"/>
  <c r="H12" i="3" s="1"/>
  <c r="E15" i="3"/>
  <c r="H15" i="3" s="1"/>
  <c r="E16" i="3"/>
  <c r="H16" i="3" s="1"/>
  <c r="E17" i="3"/>
  <c r="H17" i="3" s="1"/>
  <c r="E18" i="3"/>
  <c r="H18" i="3" s="1"/>
  <c r="E3" i="3"/>
  <c r="H3" i="3" s="1"/>
  <c r="G3" i="3"/>
  <c r="G4" i="3"/>
  <c r="G5" i="3"/>
  <c r="G6" i="3"/>
  <c r="G9" i="3"/>
  <c r="G10" i="3"/>
  <c r="G11" i="3"/>
  <c r="G12" i="3"/>
  <c r="G15" i="3"/>
  <c r="G16" i="3"/>
  <c r="G17" i="3"/>
  <c r="G18" i="3"/>
  <c r="F4" i="3"/>
  <c r="F5" i="3"/>
  <c r="F6" i="3"/>
  <c r="F9" i="3"/>
  <c r="F10" i="3"/>
  <c r="F11" i="3"/>
  <c r="F12" i="3"/>
  <c r="F15" i="3"/>
  <c r="F16" i="3"/>
  <c r="F17" i="3"/>
  <c r="F18" i="3"/>
  <c r="F3" i="3"/>
  <c r="C48" i="5" l="1"/>
  <c r="M49" i="5"/>
  <c r="C50" i="5"/>
  <c r="J20" i="1"/>
  <c r="I24" i="1"/>
  <c r="M50" i="5"/>
  <c r="K48" i="5"/>
  <c r="L50" i="5"/>
  <c r="I21" i="1"/>
  <c r="H21" i="1"/>
  <c r="K50" i="5"/>
  <c r="M48" i="5"/>
  <c r="L48" i="5"/>
  <c r="H22" i="1"/>
  <c r="C49" i="5"/>
  <c r="I20" i="1"/>
  <c r="L41" i="5"/>
  <c r="M40" i="5"/>
  <c r="L40" i="5"/>
  <c r="E48" i="5"/>
  <c r="E50" i="5"/>
  <c r="D50" i="5"/>
  <c r="M42" i="5"/>
  <c r="E49" i="5"/>
  <c r="L42" i="5"/>
  <c r="D48" i="5"/>
  <c r="D49" i="5"/>
  <c r="M41" i="5"/>
  <c r="D40" i="5"/>
  <c r="E41" i="5"/>
  <c r="D41" i="5"/>
  <c r="E40" i="5"/>
  <c r="H20" i="1"/>
  <c r="J22" i="1"/>
  <c r="I22" i="1"/>
  <c r="E42" i="5"/>
  <c r="J21" i="1"/>
  <c r="D42" i="5"/>
</calcChain>
</file>

<file path=xl/sharedStrings.xml><?xml version="1.0" encoding="utf-8"?>
<sst xmlns="http://schemas.openxmlformats.org/spreadsheetml/2006/main" count="1012" uniqueCount="167">
  <si>
    <t>DupNAS</t>
  </si>
  <si>
    <t>TinyTS</t>
  </si>
  <si>
    <t>PatchTS</t>
  </si>
  <si>
    <t>NoTS</t>
  </si>
  <si>
    <t>mbv2</t>
  </si>
  <si>
    <t>vm96</t>
  </si>
  <si>
    <t>vm128</t>
  </si>
  <si>
    <t>vm256</t>
  </si>
  <si>
    <t>shuffle</t>
  </si>
  <si>
    <t>incept</t>
  </si>
  <si>
    <t>lat. (ms)</t>
  </si>
  <si>
    <t>for TS</t>
  </si>
  <si>
    <t>not for TS</t>
  </si>
  <si>
    <t>total NAS time(hrs)</t>
  </si>
  <si>
    <t>total</t>
  </si>
  <si>
    <t>NAS time(s)</t>
  </si>
  <si>
    <t>TS time per network (s)</t>
  </si>
  <si>
    <t>avg</t>
  </si>
  <si>
    <t>min</t>
  </si>
  <si>
    <t>max</t>
  </si>
  <si>
    <t>model</t>
  </si>
  <si>
    <t>model_title</t>
  </si>
  <si>
    <t>vm</t>
  </si>
  <si>
    <t>vm_kb</t>
  </si>
  <si>
    <t>method</t>
  </si>
  <si>
    <t>method_label</t>
  </si>
  <si>
    <t>subset</t>
  </si>
  <si>
    <t>sample_count</t>
  </si>
  <si>
    <t>avg_reduction</t>
  </si>
  <si>
    <t>min_reduction</t>
  </si>
  <si>
    <t>max_reduction</t>
  </si>
  <si>
    <t>count_red_0</t>
  </si>
  <si>
    <t>count_red_1</t>
  </si>
  <si>
    <t>count_red_2</t>
  </si>
  <si>
    <t>count_red_3</t>
  </si>
  <si>
    <t>count_red_4</t>
  </si>
  <si>
    <t>count_red_5</t>
  </si>
  <si>
    <t>count_red_6</t>
  </si>
  <si>
    <t>count_red_7</t>
  </si>
  <si>
    <t>count_red_8</t>
  </si>
  <si>
    <t>count_red_9</t>
  </si>
  <si>
    <t>count_red_10</t>
  </si>
  <si>
    <t>count_red_11</t>
  </si>
  <si>
    <t>count_red_12</t>
  </si>
  <si>
    <t>count_red_13</t>
  </si>
  <si>
    <t>count_red_14</t>
  </si>
  <si>
    <t>count_red_15</t>
  </si>
  <si>
    <t>count_red_16</t>
  </si>
  <si>
    <t>count_red_17</t>
  </si>
  <si>
    <t>count_red_18</t>
  </si>
  <si>
    <t>count_red_19</t>
  </si>
  <si>
    <t>count_red_20</t>
  </si>
  <si>
    <t>count_red_21</t>
  </si>
  <si>
    <t>count_red_22</t>
  </si>
  <si>
    <t>count_red_23</t>
  </si>
  <si>
    <t>count_red_24</t>
  </si>
  <si>
    <t>count_red_25</t>
  </si>
  <si>
    <t>count_red_26</t>
  </si>
  <si>
    <t>count_red_27</t>
  </si>
  <si>
    <t>count_red_28</t>
  </si>
  <si>
    <t>count_red_29</t>
  </si>
  <si>
    <t>count_red_30</t>
  </si>
  <si>
    <t>count_red_31</t>
  </si>
  <si>
    <t>count_red_32</t>
  </si>
  <si>
    <t>count_red_33</t>
  </si>
  <si>
    <t>count_red_34</t>
  </si>
  <si>
    <t>count_red_35</t>
  </si>
  <si>
    <t>count_red_36</t>
  </si>
  <si>
    <t>count_red_37</t>
  </si>
  <si>
    <t>count_red_38</t>
  </si>
  <si>
    <t>count_red_39</t>
  </si>
  <si>
    <t>count_red_40</t>
  </si>
  <si>
    <t>count_red_41</t>
  </si>
  <si>
    <t>count_red_42</t>
  </si>
  <si>
    <t>count_red_43</t>
  </si>
  <si>
    <t>count_red_44</t>
  </si>
  <si>
    <t>count_red_45</t>
  </si>
  <si>
    <t>count_red_46</t>
  </si>
  <si>
    <t>count_red_47</t>
  </si>
  <si>
    <t>count_red_48</t>
  </si>
  <si>
    <t>count_red_49</t>
  </si>
  <si>
    <t>count_red_50</t>
  </si>
  <si>
    <t>count_red_51</t>
  </si>
  <si>
    <t>count_red_52</t>
  </si>
  <si>
    <t>count_red_53</t>
  </si>
  <si>
    <t>count_red_54</t>
  </si>
  <si>
    <t>count_red_55</t>
  </si>
  <si>
    <t>count_red_56</t>
  </si>
  <si>
    <t>count_red_57</t>
  </si>
  <si>
    <t>count_red_58</t>
  </si>
  <si>
    <t>count_red_59</t>
  </si>
  <si>
    <t>count_red_60</t>
  </si>
  <si>
    <t>count_red_61</t>
  </si>
  <si>
    <t>count_red_62</t>
  </si>
  <si>
    <t>count_red_63</t>
  </si>
  <si>
    <t>count_red_64</t>
  </si>
  <si>
    <t>count_red_65</t>
  </si>
  <si>
    <t>count_red_66</t>
  </si>
  <si>
    <t>count_red_67</t>
  </si>
  <si>
    <t>count_red_68</t>
  </si>
  <si>
    <t>count_red_69</t>
  </si>
  <si>
    <t>count_red_70</t>
  </si>
  <si>
    <t>count_red_71</t>
  </si>
  <si>
    <t>count_red_72</t>
  </si>
  <si>
    <t>count_red_73</t>
  </si>
  <si>
    <t>count_red_74</t>
  </si>
  <si>
    <t>count_red_75</t>
  </si>
  <si>
    <t>count_red_76</t>
  </si>
  <si>
    <t>count_red_77</t>
  </si>
  <si>
    <t>count_red_78</t>
  </si>
  <si>
    <t>count_red_79</t>
  </si>
  <si>
    <t>count_red_80</t>
  </si>
  <si>
    <t>count_red_81</t>
  </si>
  <si>
    <t>count_red_82</t>
  </si>
  <si>
    <t>count_red_83</t>
  </si>
  <si>
    <t>count_red_84</t>
  </si>
  <si>
    <t>count_red_85</t>
  </si>
  <si>
    <t>count_red_86</t>
  </si>
  <si>
    <t>count_red_87</t>
  </si>
  <si>
    <t>count_red_88</t>
  </si>
  <si>
    <t>count_red_89</t>
  </si>
  <si>
    <t>count_red_90</t>
  </si>
  <si>
    <t>count_red_91</t>
  </si>
  <si>
    <t>count_red_92</t>
  </si>
  <si>
    <t>count_red_93</t>
  </si>
  <si>
    <t>count_red_94</t>
  </si>
  <si>
    <t>count_red_95</t>
  </si>
  <si>
    <t>count_red_96</t>
  </si>
  <si>
    <t>count_red_97</t>
  </si>
  <si>
    <t>count_red_98</t>
  </si>
  <si>
    <t>count_red_99</t>
  </si>
  <si>
    <t>count_red_100</t>
  </si>
  <si>
    <t>MobileNet</t>
  </si>
  <si>
    <t>ourTS</t>
  </si>
  <si>
    <t>needTS_all</t>
  </si>
  <si>
    <t>needTS_valid</t>
  </si>
  <si>
    <t>tinyTS</t>
  </si>
  <si>
    <t>tinyNAS</t>
  </si>
  <si>
    <t>ShuffleNet</t>
  </si>
  <si>
    <t>InceptionNet</t>
  </si>
  <si>
    <t>Reduction</t>
  </si>
  <si>
    <t>Reduction: needTS&amp;Valid</t>
  </si>
  <si>
    <t>Reduction: needTS&amp;all</t>
  </si>
  <si>
    <t>needTS_invalid</t>
  </si>
  <si>
    <t>Reduction: needTS&amp;Invalid</t>
  </si>
  <si>
    <t>vs TinyTS</t>
  </si>
  <si>
    <t>vs PatchTS</t>
  </si>
  <si>
    <t>vs NoTS</t>
  </si>
  <si>
    <t>only MB nets</t>
  </si>
  <si>
    <t>overall avg</t>
  </si>
  <si>
    <t>before TS valids</t>
  </si>
  <si>
    <t xml:space="preserve">before TS invalids </t>
  </si>
  <si>
    <t>TS</t>
  </si>
  <si>
    <t>Accu.</t>
  </si>
  <si>
    <t>Inf. Lat.(ms)</t>
  </si>
  <si>
    <t>DupNAS*</t>
  </si>
  <si>
    <t>TinyTS*</t>
  </si>
  <si>
    <t>PatchTS*</t>
  </si>
  <si>
    <t>Feasible region expansion</t>
  </si>
  <si>
    <t>%</t>
  </si>
  <si>
    <t>overall min/max</t>
  </si>
  <si>
    <t>Overall feasible expansion</t>
  </si>
  <si>
    <t>overall mem reduction</t>
  </si>
  <si>
    <t>all networks</t>
  </si>
  <si>
    <t>Inf. Lat.(s)</t>
  </si>
  <si>
    <t>&lt;-- strongest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</si>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</sst>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sz val="12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0" fillId="0" borderId="0" xfId="0" applyNumberFormat="1"/>
    <xf numFmtId="2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/>
    <xf numFmtId="9" fontId="0" fillId="0" borderId="0" xfId="0" applyNumberFormat="1"/>
    <xf numFmtId="9" fontId="2" fillId="0" borderId="0" xfId="0" applyNumberFormat="1" applyFont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0" fillId="2" borderId="0" xfId="0" applyNumberFormat="1" applyFill="1"/>
    <xf numFmtId="9" fontId="6" fillId="2" borderId="0" xfId="0" applyNumberFormat="1" applyFont="1" applyFill="1"/>
    <xf numFmtId="9" fontId="0" fillId="2" borderId="1" xfId="0" applyNumberFormat="1" applyFill="1" applyBorder="1"/>
    <xf numFmtId="9" fontId="8" fillId="2" borderId="0" xfId="0" applyNumberFormat="1" applyFont="1" applyFill="1"/>
    <xf numFmtId="9" fontId="9" fillId="2" borderId="1" xfId="0" applyNumberFormat="1" applyFont="1" applyFill="1" applyBorder="1"/>
    <xf numFmtId="9" fontId="9" fillId="2" borderId="0" xfId="0" applyNumberFormat="1" applyFont="1" applyFill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9" fontId="0" fillId="0" borderId="0" xfId="1" applyFont="1"/>
    <xf numFmtId="9" fontId="2" fillId="2" borderId="0" xfId="0" applyNumberFormat="1" applyFont="1" applyFill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2" borderId="0" xfId="1" applyFont="1" applyFill="1" applyAlignment="1">
      <alignment horizontal="center" vertical="center"/>
    </xf>
    <xf numFmtId="0" fontId="10" fillId="0" borderId="0" xfId="0" applyFont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E08B-EC9B-43A2-8A5B-2A27A8CA6961}">
  <sheetPr>
    <tabColor rgb="FF00B0F0"/>
  </sheetPr>
  <dimension ref="A1:U50"/>
  <sheetViews>
    <sheetView topLeftCell="A21" zoomScale="115" zoomScaleNormal="115" workbookViewId="0">
      <selection activeCell="C48" sqref="C48"/>
    </sheetView>
  </sheetViews>
  <sheetFormatPr defaultColWidth="9.59765625" defaultRowHeight="15.75" x14ac:dyDescent="0.45"/>
  <cols>
    <col min="1" max="1" width="11.3984375" style="3" bestFit="1" customWidth="1"/>
    <col min="2" max="5" width="9.59765625" style="3"/>
    <col min="6" max="6" width="2.3984375" style="3" customWidth="1"/>
    <col min="7" max="9" width="9.59765625" style="41"/>
    <col min="10" max="10" width="1.73046875" style="3" customWidth="1"/>
    <col min="11" max="15" width="9.59765625" style="3"/>
    <col min="16" max="16" width="15.265625" style="3" bestFit="1" customWidth="1"/>
    <col min="17" max="16384" width="9.59765625" style="3"/>
  </cols>
  <sheetData>
    <row r="1" spans="1:21" x14ac:dyDescent="0.45">
      <c r="A1" s="3" t="s">
        <v>140</v>
      </c>
      <c r="C1" s="38"/>
      <c r="D1" s="38"/>
      <c r="E1" s="38"/>
      <c r="K1" s="39"/>
      <c r="L1" s="39"/>
      <c r="M1" s="39"/>
    </row>
    <row r="2" spans="1:21" x14ac:dyDescent="0.45">
      <c r="C2" s="47" t="s">
        <v>141</v>
      </c>
      <c r="D2" s="47"/>
      <c r="E2" s="47"/>
      <c r="G2" s="51" t="s">
        <v>144</v>
      </c>
      <c r="H2" s="51"/>
      <c r="I2" s="51"/>
      <c r="K2" s="47" t="s">
        <v>142</v>
      </c>
      <c r="L2" s="47"/>
      <c r="M2" s="47"/>
      <c r="O2"/>
      <c r="P2" s="37" t="s">
        <v>158</v>
      </c>
      <c r="Q2"/>
      <c r="R2"/>
      <c r="S2" s="9"/>
      <c r="T2" s="9"/>
      <c r="U2" s="9"/>
    </row>
    <row r="3" spans="1:21" x14ac:dyDescent="0.45">
      <c r="A3" s="52" t="s">
        <v>4</v>
      </c>
      <c r="B3" s="52"/>
      <c r="C3" s="3" t="s">
        <v>17</v>
      </c>
      <c r="D3" s="3" t="s">
        <v>18</v>
      </c>
      <c r="E3" s="3" t="s">
        <v>19</v>
      </c>
      <c r="G3" s="41" t="s">
        <v>17</v>
      </c>
      <c r="H3" s="41" t="s">
        <v>18</v>
      </c>
      <c r="I3" s="41" t="s">
        <v>19</v>
      </c>
      <c r="K3" s="3" t="s">
        <v>17</v>
      </c>
      <c r="L3" s="3" t="s">
        <v>18</v>
      </c>
      <c r="M3" s="3" t="s">
        <v>19</v>
      </c>
      <c r="O3"/>
      <c r="P3"/>
      <c r="Q3"/>
      <c r="R3"/>
      <c r="S3" s="9" t="s">
        <v>159</v>
      </c>
      <c r="T3" s="9"/>
      <c r="U3" s="9"/>
    </row>
    <row r="4" spans="1:21" x14ac:dyDescent="0.45">
      <c r="A4" s="47" t="s">
        <v>5</v>
      </c>
      <c r="B4" s="1" t="s">
        <v>0</v>
      </c>
      <c r="C4" s="5">
        <f>'reduction_dist.'!I2</f>
        <v>64.456016574585604</v>
      </c>
      <c r="D4" s="5">
        <f>'reduction_dist.'!J2</f>
        <v>20</v>
      </c>
      <c r="E4" s="5">
        <f>'reduction_dist.'!K2</f>
        <v>88.84</v>
      </c>
      <c r="F4" s="5"/>
      <c r="G4" s="42">
        <f>'reduction_dist.'!I3</f>
        <v>41.2218118948824</v>
      </c>
      <c r="H4" s="42">
        <f>'reduction_dist.'!J3</f>
        <v>0</v>
      </c>
      <c r="I4" s="42">
        <f>'reduction_dist.'!K3</f>
        <v>88</v>
      </c>
      <c r="J4" s="5"/>
      <c r="K4" s="5">
        <f>'reduction_dist.'!I4</f>
        <v>57.824224240031498</v>
      </c>
      <c r="L4" s="5">
        <f>'reduction_dist.'!J4</f>
        <v>0</v>
      </c>
      <c r="M4" s="5">
        <f>'reduction_dist.'!K4</f>
        <v>88.84</v>
      </c>
      <c r="O4" s="47" t="s">
        <v>5</v>
      </c>
      <c r="P4" t="s">
        <v>150</v>
      </c>
      <c r="Q4" s="20">
        <v>0.2084</v>
      </c>
      <c r="R4" s="1" t="s">
        <v>0</v>
      </c>
      <c r="S4" s="20">
        <v>0.56559999999999999</v>
      </c>
      <c r="T4"/>
      <c r="U4"/>
    </row>
    <row r="5" spans="1:21" x14ac:dyDescent="0.45">
      <c r="A5" s="47"/>
      <c r="B5" s="1" t="s">
        <v>1</v>
      </c>
      <c r="C5" s="5">
        <f>'reduction_dist.'!I5</f>
        <v>45.349414414414397</v>
      </c>
      <c r="D5" s="5">
        <f>'reduction_dist.'!J5</f>
        <v>29.46</v>
      </c>
      <c r="E5" s="5">
        <f>'reduction_dist.'!K5</f>
        <v>47.75</v>
      </c>
      <c r="F5" s="5"/>
      <c r="G5" s="42">
        <f>'reduction_dist.'!I6</f>
        <v>46.396093824796502</v>
      </c>
      <c r="H5" s="42">
        <f>'reduction_dist.'!J6</f>
        <v>29.51</v>
      </c>
      <c r="I5" s="42">
        <f>'reduction_dist.'!K6</f>
        <v>48.44</v>
      </c>
      <c r="J5" s="5"/>
      <c r="K5" s="5">
        <f>'reduction_dist.'!I7</f>
        <v>46.212625345440102</v>
      </c>
      <c r="L5" s="5">
        <f>'reduction_dist.'!J7</f>
        <v>29.46</v>
      </c>
      <c r="M5" s="5">
        <f>'reduction_dist.'!K7</f>
        <v>48.44</v>
      </c>
      <c r="O5" s="47"/>
      <c r="P5" t="s">
        <v>151</v>
      </c>
      <c r="Q5" s="17">
        <v>0.79159999999999997</v>
      </c>
      <c r="R5" s="1" t="s">
        <v>1</v>
      </c>
      <c r="S5" s="20">
        <v>0.13880000000000001</v>
      </c>
      <c r="T5" s="9"/>
      <c r="U5" s="9"/>
    </row>
    <row r="6" spans="1:21" x14ac:dyDescent="0.45">
      <c r="A6" s="47"/>
      <c r="B6" s="1" t="s">
        <v>2</v>
      </c>
      <c r="C6" s="5">
        <f>'reduction_dist.'!I8</f>
        <v>42.254903846153802</v>
      </c>
      <c r="D6" s="5">
        <f>'reduction_dist.'!J8</f>
        <v>23.53</v>
      </c>
      <c r="E6" s="5">
        <f>'reduction_dist.'!K8</f>
        <v>80.81</v>
      </c>
      <c r="F6" s="5"/>
      <c r="G6" s="42">
        <f>'reduction_dist.'!I9</f>
        <v>10.8139096774193</v>
      </c>
      <c r="H6" s="42">
        <f>'reduction_dist.'!J9</f>
        <v>0</v>
      </c>
      <c r="I6" s="42">
        <f>'reduction_dist.'!K9</f>
        <v>85.23</v>
      </c>
      <c r="J6" s="5"/>
      <c r="K6" s="5">
        <f>'reduction_dist.'!I10</f>
        <v>13.395720489538</v>
      </c>
      <c r="L6" s="5">
        <f>'reduction_dist.'!J10</f>
        <v>0</v>
      </c>
      <c r="M6" s="5">
        <f>'reduction_dist.'!K10</f>
        <v>85.23</v>
      </c>
      <c r="O6" s="47"/>
      <c r="Q6" s="18"/>
      <c r="R6" s="1" t="s">
        <v>2</v>
      </c>
      <c r="S6" s="20">
        <v>6.5000000000000002E-2</v>
      </c>
      <c r="T6"/>
      <c r="U6"/>
    </row>
    <row r="7" spans="1:21" x14ac:dyDescent="0.45">
      <c r="A7" s="47" t="s">
        <v>6</v>
      </c>
      <c r="B7" s="1" t="s">
        <v>0</v>
      </c>
      <c r="C7" s="5">
        <f>'reduction_dist.'!I11</f>
        <v>63.441149118118602</v>
      </c>
      <c r="D7" s="5">
        <f>'reduction_dist.'!J11</f>
        <v>19.86</v>
      </c>
      <c r="E7" s="5">
        <f>'reduction_dist.'!K11</f>
        <v>88</v>
      </c>
      <c r="F7" s="5"/>
      <c r="G7" s="42">
        <f>'reduction_dist.'!I12</f>
        <v>59.8814004376367</v>
      </c>
      <c r="H7" s="42">
        <f>'reduction_dist.'!J12</f>
        <v>0</v>
      </c>
      <c r="I7" s="42">
        <f>'reduction_dist.'!K12</f>
        <v>88</v>
      </c>
      <c r="J7" s="5"/>
      <c r="K7" s="5">
        <f>'reduction_dist.'!I13</f>
        <v>62.742349656357298</v>
      </c>
      <c r="L7" s="5">
        <f>'reduction_dist.'!J13</f>
        <v>0</v>
      </c>
      <c r="M7" s="5">
        <f>'reduction_dist.'!K13</f>
        <v>88</v>
      </c>
      <c r="O7" s="47" t="s">
        <v>6</v>
      </c>
      <c r="P7" t="s">
        <v>150</v>
      </c>
      <c r="Q7" s="20">
        <v>0.27250000000000002</v>
      </c>
      <c r="R7" s="1" t="s">
        <v>0</v>
      </c>
      <c r="S7" s="21">
        <v>0.5847</v>
      </c>
      <c r="T7"/>
      <c r="U7"/>
    </row>
    <row r="8" spans="1:21" x14ac:dyDescent="0.45">
      <c r="A8" s="47"/>
      <c r="B8" s="1" t="s">
        <v>1</v>
      </c>
      <c r="C8" s="5">
        <f>'reduction_dist.'!I14</f>
        <v>46.648775510203997</v>
      </c>
      <c r="D8" s="5">
        <f>'reduction_dist.'!J14</f>
        <v>41.61</v>
      </c>
      <c r="E8" s="5">
        <f>'reduction_dist.'!K14</f>
        <v>48.39</v>
      </c>
      <c r="F8" s="5"/>
      <c r="G8" s="42">
        <f>'reduction_dist.'!I15</f>
        <v>46.3255449972051</v>
      </c>
      <c r="H8" s="42">
        <f>'reduction_dist.'!J15</f>
        <v>29.51</v>
      </c>
      <c r="I8" s="42">
        <f>'reduction_dist.'!K15</f>
        <v>48.44</v>
      </c>
      <c r="J8" s="5"/>
      <c r="K8" s="5">
        <f>'reduction_dist.'!I16</f>
        <v>46.400382302405497</v>
      </c>
      <c r="L8" s="5">
        <f>'reduction_dist.'!J16</f>
        <v>29.51</v>
      </c>
      <c r="M8" s="5">
        <f>'reduction_dist.'!K16</f>
        <v>48.44</v>
      </c>
      <c r="O8" s="47"/>
      <c r="P8" t="s">
        <v>151</v>
      </c>
      <c r="Q8" s="17">
        <v>0.72750000000000004</v>
      </c>
      <c r="R8" s="1" t="s">
        <v>1</v>
      </c>
      <c r="S8" s="20">
        <v>0.16839999999999999</v>
      </c>
      <c r="T8" s="1"/>
      <c r="U8" s="9"/>
    </row>
    <row r="9" spans="1:21" x14ac:dyDescent="0.45">
      <c r="A9" s="47"/>
      <c r="B9" s="1" t="s">
        <v>2</v>
      </c>
      <c r="C9" s="5">
        <f>'reduction_dist.'!I17</f>
        <v>45.593644444444401</v>
      </c>
      <c r="D9" s="5">
        <f>'reduction_dist.'!J17</f>
        <v>19.86</v>
      </c>
      <c r="E9" s="5">
        <f>'reduction_dist.'!K17</f>
        <v>85.23</v>
      </c>
      <c r="F9" s="5"/>
      <c r="G9" s="42">
        <f>'reduction_dist.'!I18</f>
        <v>9.5938801711840203</v>
      </c>
      <c r="H9" s="42">
        <f>'reduction_dist.'!J18</f>
        <v>0</v>
      </c>
      <c r="I9" s="42">
        <f>'reduction_dist.'!K18</f>
        <v>81.06</v>
      </c>
      <c r="J9" s="5"/>
      <c r="K9" s="5">
        <f>'reduction_dist.'!I19</f>
        <v>13.0732388316151</v>
      </c>
      <c r="L9" s="5">
        <f>'reduction_dist.'!J19</f>
        <v>0</v>
      </c>
      <c r="M9" s="5">
        <f>'reduction_dist.'!K19</f>
        <v>85.23</v>
      </c>
      <c r="O9" s="47"/>
      <c r="Q9" s="18"/>
      <c r="R9" s="1" t="s">
        <v>2</v>
      </c>
      <c r="S9" s="20">
        <v>7.0300000000000001E-2</v>
      </c>
      <c r="T9" s="1"/>
      <c r="U9" s="9"/>
    </row>
    <row r="10" spans="1:21" x14ac:dyDescent="0.45">
      <c r="A10" s="47" t="s">
        <v>7</v>
      </c>
      <c r="B10" s="1" t="s">
        <v>0</v>
      </c>
      <c r="C10" s="5">
        <f>'reduction_dist.'!I20</f>
        <v>56.224032549728697</v>
      </c>
      <c r="D10" s="5">
        <f>'reduction_dist.'!J20</f>
        <v>1.32</v>
      </c>
      <c r="E10" s="5">
        <f>'reduction_dist.'!K20</f>
        <v>86.33</v>
      </c>
      <c r="F10" s="5"/>
      <c r="G10" s="42">
        <f>'reduction_dist.'!I21</f>
        <v>75.735677966101605</v>
      </c>
      <c r="H10" s="42">
        <f>'reduction_dist.'!J21</f>
        <v>40</v>
      </c>
      <c r="I10" s="42">
        <f>'reduction_dist.'!K21</f>
        <v>88</v>
      </c>
      <c r="J10" s="5"/>
      <c r="K10" s="5">
        <f>'reduction_dist.'!I22</f>
        <v>57.5196848621271</v>
      </c>
      <c r="L10" s="5">
        <f>'reduction_dist.'!J22</f>
        <v>1.32</v>
      </c>
      <c r="M10" s="5">
        <f>'reduction_dist.'!K22</f>
        <v>88</v>
      </c>
      <c r="O10" s="47" t="s">
        <v>7</v>
      </c>
      <c r="P10" t="s">
        <v>150</v>
      </c>
      <c r="Q10" s="20">
        <v>0.44469999999999998</v>
      </c>
      <c r="R10" s="1" t="s">
        <v>0</v>
      </c>
      <c r="S10" s="20">
        <v>0.51839999999999997</v>
      </c>
      <c r="T10" s="1"/>
      <c r="U10" s="9"/>
    </row>
    <row r="11" spans="1:21" x14ac:dyDescent="0.45">
      <c r="A11" s="47"/>
      <c r="B11" s="1" t="s">
        <v>1</v>
      </c>
      <c r="C11" s="5">
        <f>'reduction_dist.'!I23</f>
        <v>46.591584786053801</v>
      </c>
      <c r="D11" s="5">
        <f>'reduction_dist.'!J23</f>
        <v>32.82</v>
      </c>
      <c r="E11" s="5">
        <f>'reduction_dist.'!K23</f>
        <v>48.42</v>
      </c>
      <c r="F11" s="5"/>
      <c r="G11" s="42">
        <f>'reduction_dist.'!I24</f>
        <v>46.355139616055801</v>
      </c>
      <c r="H11" s="42">
        <f>'reduction_dist.'!J24</f>
        <v>29.54</v>
      </c>
      <c r="I11" s="42">
        <f>'reduction_dist.'!K24</f>
        <v>48.44</v>
      </c>
      <c r="J11" s="5"/>
      <c r="K11" s="5">
        <f>'reduction_dist.'!I25</f>
        <v>46.439099606077598</v>
      </c>
      <c r="L11" s="5">
        <f>'reduction_dist.'!J25</f>
        <v>29.54</v>
      </c>
      <c r="M11" s="5">
        <f>'reduction_dist.'!K25</f>
        <v>48.44</v>
      </c>
      <c r="O11" s="47"/>
      <c r="P11" t="s">
        <v>151</v>
      </c>
      <c r="Q11" s="17">
        <v>0.55530000000000002</v>
      </c>
      <c r="R11" s="1" t="s">
        <v>1</v>
      </c>
      <c r="S11" s="23">
        <v>0.19719999999999999</v>
      </c>
    </row>
    <row r="12" spans="1:21" s="4" customFormat="1" x14ac:dyDescent="0.45">
      <c r="A12" s="49"/>
      <c r="B12" s="2" t="s">
        <v>2</v>
      </c>
      <c r="C12" s="6">
        <f>'reduction_dist.'!I26</f>
        <v>46.125240384615303</v>
      </c>
      <c r="D12" s="6">
        <f>'reduction_dist.'!J26</f>
        <v>1.32</v>
      </c>
      <c r="E12" s="6">
        <f>'reduction_dist.'!K26</f>
        <v>76.47</v>
      </c>
      <c r="F12" s="6"/>
      <c r="G12" s="43">
        <f>'reduction_dist.'!I27</f>
        <v>6.5489866156787704</v>
      </c>
      <c r="H12" s="43">
        <f>'reduction_dist.'!J27</f>
        <v>0</v>
      </c>
      <c r="I12" s="43">
        <f>'reduction_dist.'!K27</f>
        <v>65.709999999999994</v>
      </c>
      <c r="J12" s="6"/>
      <c r="K12" s="6">
        <f>'reduction_dist.'!I28</f>
        <v>11.1814350028137</v>
      </c>
      <c r="L12" s="6">
        <f>'reduction_dist.'!J28</f>
        <v>0</v>
      </c>
      <c r="M12" s="6">
        <f>'reduction_dist.'!K28</f>
        <v>76.47</v>
      </c>
      <c r="O12" s="49"/>
      <c r="Q12" s="19"/>
      <c r="R12" s="2" t="s">
        <v>2</v>
      </c>
      <c r="S12" s="22">
        <v>6.5000000000000002E-2</v>
      </c>
    </row>
    <row r="13" spans="1:21" x14ac:dyDescent="0.45">
      <c r="C13" s="47" t="s">
        <v>141</v>
      </c>
      <c r="D13" s="47"/>
      <c r="E13" s="47"/>
      <c r="G13" s="51" t="s">
        <v>144</v>
      </c>
      <c r="H13" s="51"/>
      <c r="I13" s="51"/>
      <c r="K13" s="47" t="s">
        <v>142</v>
      </c>
      <c r="L13" s="47"/>
      <c r="M13" s="47"/>
      <c r="O13"/>
      <c r="P13"/>
      <c r="Q13" s="17"/>
      <c r="R13"/>
      <c r="S13" s="20"/>
      <c r="T13" s="9"/>
      <c r="U13" s="9"/>
    </row>
    <row r="14" spans="1:21" x14ac:dyDescent="0.45">
      <c r="A14" s="52" t="s">
        <v>8</v>
      </c>
      <c r="B14" s="52"/>
      <c r="C14" s="3" t="s">
        <v>17</v>
      </c>
      <c r="D14" s="3" t="s">
        <v>18</v>
      </c>
      <c r="E14" s="3" t="s">
        <v>19</v>
      </c>
      <c r="G14" s="41" t="s">
        <v>17</v>
      </c>
      <c r="H14" s="41" t="s">
        <v>18</v>
      </c>
      <c r="I14" s="41" t="s">
        <v>19</v>
      </c>
      <c r="K14" s="3" t="s">
        <v>17</v>
      </c>
      <c r="L14" s="3" t="s">
        <v>18</v>
      </c>
      <c r="M14" s="3" t="s">
        <v>19</v>
      </c>
      <c r="O14"/>
      <c r="P14"/>
      <c r="Q14" s="17"/>
      <c r="R14"/>
      <c r="S14" s="20"/>
      <c r="T14" s="9"/>
      <c r="U14" s="9"/>
    </row>
    <row r="15" spans="1:21" x14ac:dyDescent="0.45">
      <c r="A15" s="47" t="s">
        <v>5</v>
      </c>
      <c r="B15" s="1" t="s">
        <v>0</v>
      </c>
      <c r="C15" s="3">
        <f>'reduction_dist.'!I29</f>
        <v>40.298020304568503</v>
      </c>
      <c r="D15" s="3">
        <f>'reduction_dist.'!J29</f>
        <v>25</v>
      </c>
      <c r="E15" s="3">
        <f>'reduction_dist.'!K29</f>
        <v>54.17</v>
      </c>
      <c r="G15" s="41">
        <f>'reduction_dist.'!I30</f>
        <v>16.326836158191998</v>
      </c>
      <c r="H15" s="41">
        <f>'reduction_dist.'!J30</f>
        <v>0</v>
      </c>
      <c r="I15" s="41">
        <f>'reduction_dist.'!K30</f>
        <v>33.33</v>
      </c>
      <c r="K15" s="3">
        <f>'reduction_dist.'!I31</f>
        <v>27.232894534257099</v>
      </c>
      <c r="L15" s="3">
        <f>'reduction_dist.'!J31</f>
        <v>0</v>
      </c>
      <c r="M15" s="3">
        <f>'reduction_dist.'!K31</f>
        <v>54.17</v>
      </c>
      <c r="O15" s="47" t="s">
        <v>5</v>
      </c>
      <c r="P15" t="s">
        <v>150</v>
      </c>
      <c r="Q15" s="20">
        <v>0.45879999999999999</v>
      </c>
      <c r="R15" s="1" t="s">
        <v>0</v>
      </c>
      <c r="S15" s="20">
        <v>0.2462</v>
      </c>
    </row>
    <row r="16" spans="1:21" x14ac:dyDescent="0.45">
      <c r="A16" s="47"/>
      <c r="B16" s="1" t="s">
        <v>1</v>
      </c>
      <c r="C16" s="3">
        <f>'reduction_dist.'!I32</f>
        <v>33.024791666666601</v>
      </c>
      <c r="D16" s="3">
        <f>'reduction_dist.'!J32</f>
        <v>32.46</v>
      </c>
      <c r="E16" s="3">
        <f>'reduction_dist.'!K32</f>
        <v>33.22</v>
      </c>
      <c r="G16" s="41">
        <f>'reduction_dist.'!I33</f>
        <v>20.954114737883199</v>
      </c>
      <c r="H16" s="41">
        <f>'reduction_dist.'!J33</f>
        <v>0</v>
      </c>
      <c r="I16" s="41">
        <f>'reduction_dist.'!K33</f>
        <v>33.25</v>
      </c>
      <c r="K16" s="3">
        <f>'reduction_dist.'!I34</f>
        <v>23.630292532717402</v>
      </c>
      <c r="L16" s="3">
        <f>'reduction_dist.'!J34</f>
        <v>0</v>
      </c>
      <c r="M16" s="3">
        <f>'reduction_dist.'!K34</f>
        <v>33.25</v>
      </c>
      <c r="O16" s="47"/>
      <c r="P16" t="s">
        <v>151</v>
      </c>
      <c r="Q16" s="17">
        <v>0.54120000000000001</v>
      </c>
      <c r="R16" s="1" t="s">
        <v>1</v>
      </c>
      <c r="S16" s="20">
        <v>0.12</v>
      </c>
    </row>
    <row r="17" spans="1:21" x14ac:dyDescent="0.45">
      <c r="A17" s="47"/>
      <c r="B17" s="1" t="s">
        <v>2</v>
      </c>
      <c r="C17" s="3">
        <f>'reduction_dist.'!I35</f>
        <v>24.718333333333302</v>
      </c>
      <c r="D17" s="3">
        <f>'reduction_dist.'!J35</f>
        <v>23.44</v>
      </c>
      <c r="E17" s="3">
        <f>'reduction_dist.'!K35</f>
        <v>25</v>
      </c>
      <c r="G17" s="41">
        <f>'reduction_dist.'!I36</f>
        <v>7.8697783933518002</v>
      </c>
      <c r="H17" s="41">
        <f>'reduction_dist.'!J36</f>
        <v>0</v>
      </c>
      <c r="I17" s="41">
        <f>'reduction_dist.'!K36</f>
        <v>39.06</v>
      </c>
      <c r="K17" s="3">
        <f>'reduction_dist.'!I37</f>
        <v>10.6713856812933</v>
      </c>
      <c r="L17" s="3">
        <f>'reduction_dist.'!J37</f>
        <v>0</v>
      </c>
      <c r="M17" s="3">
        <f>'reduction_dist.'!K37</f>
        <v>39.06</v>
      </c>
      <c r="O17" s="47"/>
      <c r="Q17" s="18"/>
      <c r="R17" s="1" t="s">
        <v>2</v>
      </c>
      <c r="S17" s="25">
        <v>0.09</v>
      </c>
    </row>
    <row r="18" spans="1:21" x14ac:dyDescent="0.45">
      <c r="A18" s="47" t="s">
        <v>6</v>
      </c>
      <c r="B18" s="1" t="s">
        <v>0</v>
      </c>
      <c r="C18" s="3">
        <f>'reduction_dist.'!I38</f>
        <v>32.5327272727272</v>
      </c>
      <c r="D18" s="3">
        <f>'reduction_dist.'!J38</f>
        <v>15.79</v>
      </c>
      <c r="E18" s="3">
        <f>'reduction_dist.'!K38</f>
        <v>33.33</v>
      </c>
      <c r="G18" s="41">
        <f>'reduction_dist.'!I39</f>
        <v>16.707515723270401</v>
      </c>
      <c r="H18" s="41">
        <f>'reduction_dist.'!J39</f>
        <v>0</v>
      </c>
      <c r="I18" s="41">
        <f>'reduction_dist.'!K39</f>
        <v>33.33</v>
      </c>
      <c r="K18" s="3">
        <f>'reduction_dist.'!I40</f>
        <v>22.1136438923395</v>
      </c>
      <c r="L18" s="3">
        <f>'reduction_dist.'!J40</f>
        <v>0</v>
      </c>
      <c r="M18" s="3">
        <f>'reduction_dist.'!K40</f>
        <v>33.33</v>
      </c>
      <c r="O18" s="47" t="s">
        <v>6</v>
      </c>
      <c r="P18" t="s">
        <v>150</v>
      </c>
      <c r="Q18" s="20">
        <v>0.59750000000000003</v>
      </c>
      <c r="R18" s="1" t="s">
        <v>0</v>
      </c>
      <c r="S18" s="20">
        <v>0.13750000000000001</v>
      </c>
    </row>
    <row r="19" spans="1:21" x14ac:dyDescent="0.45">
      <c r="A19" s="47"/>
      <c r="B19" s="1" t="s">
        <v>1</v>
      </c>
      <c r="C19" s="3">
        <f>'reduction_dist.'!I41</f>
        <v>32.904770642201797</v>
      </c>
      <c r="D19" s="3">
        <f>'reduction_dist.'!J41</f>
        <v>32.630000000000003</v>
      </c>
      <c r="E19" s="3">
        <f>'reduction_dist.'!K41</f>
        <v>33</v>
      </c>
      <c r="G19" s="41">
        <f>'reduction_dist.'!I42</f>
        <v>22.068191365227499</v>
      </c>
      <c r="H19" s="41">
        <f>'reduction_dist.'!J42</f>
        <v>0</v>
      </c>
      <c r="I19" s="41">
        <f>'reduction_dist.'!K42</f>
        <v>33.25</v>
      </c>
      <c r="K19" s="3">
        <f>'reduction_dist.'!I43</f>
        <v>23.290952380952302</v>
      </c>
      <c r="L19" s="3">
        <f>'reduction_dist.'!J43</f>
        <v>0</v>
      </c>
      <c r="M19" s="3">
        <f>'reduction_dist.'!K43</f>
        <v>33.25</v>
      </c>
      <c r="O19" s="47"/>
      <c r="P19" t="s">
        <v>151</v>
      </c>
      <c r="Q19" s="17">
        <v>0.40250000000000002</v>
      </c>
      <c r="R19" s="1" t="s">
        <v>1</v>
      </c>
      <c r="S19" s="20">
        <v>4.5400000000000003E-2</v>
      </c>
    </row>
    <row r="20" spans="1:21" x14ac:dyDescent="0.45">
      <c r="A20" s="47"/>
      <c r="B20" s="1" t="s">
        <v>2</v>
      </c>
      <c r="C20" s="3">
        <f>'reduction_dist.'!I44</f>
        <v>37.959999999999901</v>
      </c>
      <c r="D20" s="3">
        <f>'reduction_dist.'!J44</f>
        <v>37.96</v>
      </c>
      <c r="E20" s="3">
        <f>'reduction_dist.'!K44</f>
        <v>37.96</v>
      </c>
      <c r="G20" s="41">
        <f>'reduction_dist.'!I45</f>
        <v>1.09114249037227</v>
      </c>
      <c r="H20" s="41">
        <f>'reduction_dist.'!J45</f>
        <v>0</v>
      </c>
      <c r="I20" s="41">
        <f>'reduction_dist.'!K45</f>
        <v>25</v>
      </c>
      <c r="K20" s="3">
        <f>'reduction_dist.'!I46</f>
        <v>8.2282815734989594</v>
      </c>
      <c r="L20" s="3">
        <f>'reduction_dist.'!J46</f>
        <v>0</v>
      </c>
      <c r="M20" s="3">
        <f>'reduction_dist.'!K46</f>
        <v>37.96</v>
      </c>
      <c r="O20" s="47"/>
      <c r="Q20" s="18"/>
      <c r="R20" s="1" t="s">
        <v>2</v>
      </c>
      <c r="S20" s="20">
        <v>7.7899999999999997E-2</v>
      </c>
    </row>
    <row r="21" spans="1:21" x14ac:dyDescent="0.45">
      <c r="A21" s="47" t="s">
        <v>7</v>
      </c>
      <c r="B21" s="1" t="s">
        <v>0</v>
      </c>
      <c r="C21" s="3">
        <f>'reduction_dist.'!I47</f>
        <v>33.138863636363602</v>
      </c>
      <c r="D21" s="3">
        <f>'reduction_dist.'!J47</f>
        <v>32.46</v>
      </c>
      <c r="E21" s="3">
        <f>'reduction_dist.'!K47</f>
        <v>33.33</v>
      </c>
      <c r="G21" s="41">
        <f>'reduction_dist.'!I48</f>
        <v>13.022779552715599</v>
      </c>
      <c r="H21" s="41">
        <f>'reduction_dist.'!J48</f>
        <v>0</v>
      </c>
      <c r="I21" s="41">
        <f>'reduction_dist.'!K48</f>
        <v>33.33</v>
      </c>
      <c r="K21" s="3">
        <f>'reduction_dist.'!I49</f>
        <v>18.989797752808901</v>
      </c>
      <c r="L21" s="3">
        <f>'reduction_dist.'!J49</f>
        <v>0</v>
      </c>
      <c r="M21" s="3">
        <f>'reduction_dist.'!K49</f>
        <v>33.33</v>
      </c>
      <c r="O21" s="47" t="s">
        <v>7</v>
      </c>
      <c r="P21" t="s">
        <v>150</v>
      </c>
      <c r="Q21" s="20">
        <v>0.81459999999999999</v>
      </c>
      <c r="R21" s="1" t="s">
        <v>0</v>
      </c>
      <c r="S21" s="21">
        <v>5.5E-2</v>
      </c>
    </row>
    <row r="22" spans="1:21" x14ac:dyDescent="0.45">
      <c r="A22" s="47"/>
      <c r="B22" s="1" t="s">
        <v>1</v>
      </c>
      <c r="C22" s="3">
        <f>'reduction_dist.'!I50</f>
        <v>32.899621212121197</v>
      </c>
      <c r="D22" s="3">
        <f>'reduction_dist.'!J50</f>
        <v>32.46</v>
      </c>
      <c r="E22" s="3">
        <f>'reduction_dist.'!K50</f>
        <v>33.07</v>
      </c>
      <c r="G22" s="41">
        <f>'reduction_dist.'!I51</f>
        <v>13.5729392971246</v>
      </c>
      <c r="H22" s="41">
        <f>'reduction_dist.'!J51</f>
        <v>0</v>
      </c>
      <c r="I22" s="41">
        <f>'reduction_dist.'!K51</f>
        <v>33.07</v>
      </c>
      <c r="K22" s="3">
        <f>'reduction_dist.'!I52</f>
        <v>19.3057977528089</v>
      </c>
      <c r="L22" s="3">
        <f>'reduction_dist.'!J52</f>
        <v>0</v>
      </c>
      <c r="M22" s="3">
        <f>'reduction_dist.'!K52</f>
        <v>33.07</v>
      </c>
      <c r="O22" s="47"/>
      <c r="P22" t="s">
        <v>151</v>
      </c>
      <c r="Q22" s="17">
        <v>0.18540000000000001</v>
      </c>
      <c r="R22" s="1" t="s">
        <v>1</v>
      </c>
      <c r="S22" s="20">
        <v>5.5E-2</v>
      </c>
    </row>
    <row r="23" spans="1:21" s="4" customFormat="1" x14ac:dyDescent="0.45">
      <c r="A23" s="49"/>
      <c r="B23" s="2" t="s">
        <v>2</v>
      </c>
      <c r="C23" s="4">
        <f>'reduction_dist.'!I53</f>
        <v>0</v>
      </c>
      <c r="D23" s="4">
        <f>'reduction_dist.'!J53</f>
        <v>0</v>
      </c>
      <c r="E23" s="4">
        <f>'reduction_dist.'!K53</f>
        <v>0</v>
      </c>
      <c r="G23" s="44">
        <f>'reduction_dist.'!I54</f>
        <v>0</v>
      </c>
      <c r="H23" s="44">
        <f>'reduction_dist.'!J54</f>
        <v>0</v>
      </c>
      <c r="I23" s="44">
        <f>'reduction_dist.'!K54</f>
        <v>0</v>
      </c>
      <c r="K23" s="4">
        <f>'reduction_dist.'!I55</f>
        <v>0</v>
      </c>
      <c r="L23" s="4">
        <f>'reduction_dist.'!J55</f>
        <v>0</v>
      </c>
      <c r="M23" s="4">
        <f>'reduction_dist.'!K55</f>
        <v>0</v>
      </c>
      <c r="O23" s="49"/>
      <c r="Q23" s="19"/>
      <c r="R23" s="2" t="s">
        <v>2</v>
      </c>
      <c r="S23" s="24">
        <v>0</v>
      </c>
    </row>
    <row r="24" spans="1:21" x14ac:dyDescent="0.45">
      <c r="C24" s="47" t="s">
        <v>141</v>
      </c>
      <c r="D24" s="47"/>
      <c r="E24" s="47"/>
      <c r="G24" s="51" t="s">
        <v>144</v>
      </c>
      <c r="H24" s="51"/>
      <c r="I24" s="51"/>
      <c r="K24" s="47" t="s">
        <v>142</v>
      </c>
      <c r="L24" s="47"/>
      <c r="M24" s="47"/>
      <c r="O24"/>
      <c r="P24"/>
      <c r="Q24" s="17"/>
      <c r="R24"/>
      <c r="S24" s="20"/>
      <c r="T24" s="9"/>
      <c r="U24" s="9"/>
    </row>
    <row r="25" spans="1:21" x14ac:dyDescent="0.45">
      <c r="A25" s="47" t="s">
        <v>9</v>
      </c>
      <c r="B25" s="47"/>
      <c r="C25" s="3" t="s">
        <v>17</v>
      </c>
      <c r="D25" s="3" t="s">
        <v>18</v>
      </c>
      <c r="E25" s="3" t="s">
        <v>19</v>
      </c>
      <c r="G25" s="41" t="s">
        <v>17</v>
      </c>
      <c r="H25" s="41" t="s">
        <v>18</v>
      </c>
      <c r="I25" s="41" t="s">
        <v>19</v>
      </c>
      <c r="K25" s="3" t="s">
        <v>17</v>
      </c>
      <c r="L25" s="3" t="s">
        <v>18</v>
      </c>
      <c r="M25" s="3" t="s">
        <v>19</v>
      </c>
      <c r="O25"/>
      <c r="P25"/>
      <c r="Q25" s="17"/>
      <c r="R25"/>
      <c r="S25" s="20"/>
      <c r="T25" s="9"/>
      <c r="U25" s="9"/>
    </row>
    <row r="26" spans="1:21" x14ac:dyDescent="0.45">
      <c r="A26" s="47" t="s">
        <v>5</v>
      </c>
      <c r="B26" s="1" t="s">
        <v>0</v>
      </c>
      <c r="C26" s="3">
        <f>'reduction_dist.'!I56</f>
        <v>45.853029411764702</v>
      </c>
      <c r="D26" s="3">
        <f>'reduction_dist.'!J56</f>
        <v>13.64</v>
      </c>
      <c r="E26" s="3">
        <f>'reduction_dist.'!K56</f>
        <v>57.58</v>
      </c>
      <c r="G26" s="41">
        <f>'reduction_dist.'!I57</f>
        <v>6.1360229330114597</v>
      </c>
      <c r="H26" s="41">
        <f>'reduction_dist.'!J57</f>
        <v>0</v>
      </c>
      <c r="I26" s="41">
        <f>'reduction_dist.'!K57</f>
        <v>40.35</v>
      </c>
      <c r="K26" s="3">
        <f>'reduction_dist.'!I58</f>
        <v>12.8980570856284</v>
      </c>
      <c r="L26" s="3">
        <f>'reduction_dist.'!J58</f>
        <v>0</v>
      </c>
      <c r="M26" s="3">
        <f>'reduction_dist.'!K58</f>
        <v>57.58</v>
      </c>
      <c r="O26" s="47" t="s">
        <v>5</v>
      </c>
      <c r="P26" t="s">
        <v>150</v>
      </c>
      <c r="Q26" s="20">
        <v>0.37590000000000001</v>
      </c>
      <c r="R26" s="1" t="s">
        <v>0</v>
      </c>
      <c r="S26" s="20">
        <v>0.1062</v>
      </c>
    </row>
    <row r="27" spans="1:21" x14ac:dyDescent="0.45">
      <c r="A27" s="47"/>
      <c r="B27" s="1" t="s">
        <v>1</v>
      </c>
      <c r="C27" s="3">
        <f>'reduction_dist.'!I59</f>
        <v>26.932352941176401</v>
      </c>
      <c r="D27" s="3">
        <f>'reduction_dist.'!J59</f>
        <v>15.79</v>
      </c>
      <c r="E27" s="3">
        <f>'reduction_dist.'!K59</f>
        <v>27.27</v>
      </c>
      <c r="G27" s="41">
        <f>'reduction_dist.'!I60</f>
        <v>15.006158311345599</v>
      </c>
      <c r="H27" s="41">
        <f>'reduction_dist.'!J60</f>
        <v>0</v>
      </c>
      <c r="I27" s="41">
        <f>'reduction_dist.'!K60</f>
        <v>27.27</v>
      </c>
      <c r="K27" s="3">
        <f>'reduction_dist.'!I61</f>
        <v>15.6153079619429</v>
      </c>
      <c r="L27" s="3">
        <f>'reduction_dist.'!J61</f>
        <v>0</v>
      </c>
      <c r="M27" s="3">
        <f>'reduction_dist.'!K61</f>
        <v>27.27</v>
      </c>
      <c r="O27" s="47"/>
      <c r="P27" t="s">
        <v>151</v>
      </c>
      <c r="Q27" s="17">
        <v>0.62409999999999999</v>
      </c>
      <c r="R27" s="1" t="s">
        <v>1</v>
      </c>
      <c r="S27" s="23">
        <v>3.1899999999999998E-2</v>
      </c>
    </row>
    <row r="28" spans="1:21" x14ac:dyDescent="0.45">
      <c r="A28" s="47"/>
      <c r="B28" s="1" t="s">
        <v>2</v>
      </c>
      <c r="C28" s="3">
        <f>'reduction_dist.'!I62</f>
        <v>22.9340625</v>
      </c>
      <c r="D28" s="3">
        <f>'reduction_dist.'!J62</f>
        <v>14.58</v>
      </c>
      <c r="E28" s="3">
        <f>'reduction_dist.'!K62</f>
        <v>28.65</v>
      </c>
      <c r="G28" s="41">
        <f>'reduction_dist.'!I63</f>
        <v>4.4212915961646901</v>
      </c>
      <c r="H28" s="41">
        <f>'reduction_dist.'!J63</f>
        <v>0</v>
      </c>
      <c r="I28" s="41">
        <f>'reduction_dist.'!K63</f>
        <v>44.01</v>
      </c>
      <c r="K28" s="3">
        <f>'reduction_dist.'!I64</f>
        <v>6.4978367551326901</v>
      </c>
      <c r="L28" s="3">
        <f>'reduction_dist.'!J64</f>
        <v>0</v>
      </c>
      <c r="M28" s="3">
        <f>'reduction_dist.'!K64</f>
        <v>44.01</v>
      </c>
      <c r="O28" s="47"/>
      <c r="Q28" s="18"/>
      <c r="R28" s="1" t="s">
        <v>2</v>
      </c>
      <c r="S28" s="20">
        <v>7.0000000000000007E-2</v>
      </c>
    </row>
    <row r="29" spans="1:21" x14ac:dyDescent="0.45">
      <c r="A29" s="47" t="s">
        <v>6</v>
      </c>
      <c r="B29" s="1" t="s">
        <v>0</v>
      </c>
      <c r="C29" s="3">
        <f>'reduction_dist.'!I65</f>
        <v>33.594444444444399</v>
      </c>
      <c r="D29" s="3">
        <f>'reduction_dist.'!J65</f>
        <v>12.28</v>
      </c>
      <c r="E29" s="3">
        <f>'reduction_dist.'!K65</f>
        <v>57.58</v>
      </c>
      <c r="G29" s="41">
        <f>'reduction_dist.'!I66</f>
        <v>8.4104216867469805</v>
      </c>
      <c r="H29" s="41">
        <f>'reduction_dist.'!J66</f>
        <v>0</v>
      </c>
      <c r="I29" s="41">
        <f>'reduction_dist.'!K66</f>
        <v>40.35</v>
      </c>
      <c r="K29" s="3">
        <f>'reduction_dist.'!I67</f>
        <v>16.216870546318201</v>
      </c>
      <c r="L29" s="3">
        <f>'reduction_dist.'!J67</f>
        <v>0</v>
      </c>
      <c r="M29" s="3">
        <f>'reduction_dist.'!K67</f>
        <v>57.58</v>
      </c>
      <c r="O29" s="47" t="s">
        <v>6</v>
      </c>
      <c r="P29" t="s">
        <v>150</v>
      </c>
      <c r="Q29" s="20">
        <v>0.4738</v>
      </c>
      <c r="R29" s="1" t="s">
        <v>0</v>
      </c>
      <c r="S29" s="20">
        <v>0.16309999999999999</v>
      </c>
    </row>
    <row r="30" spans="1:21" x14ac:dyDescent="0.45">
      <c r="A30" s="47"/>
      <c r="B30" s="1" t="s">
        <v>1</v>
      </c>
      <c r="C30" s="3">
        <f>'reduction_dist.'!I68</f>
        <v>26.642941176470501</v>
      </c>
      <c r="D30" s="3">
        <f>'reduction_dist.'!J68</f>
        <v>15.79</v>
      </c>
      <c r="E30" s="3">
        <f>'reduction_dist.'!K68</f>
        <v>27.27</v>
      </c>
      <c r="G30" s="41">
        <f>'reduction_dist.'!I69</f>
        <v>16.806009681881001</v>
      </c>
      <c r="H30" s="41">
        <f>'reduction_dist.'!J69</f>
        <v>0</v>
      </c>
      <c r="I30" s="41">
        <f>'reduction_dist.'!K69</f>
        <v>27.27</v>
      </c>
      <c r="K30" s="3">
        <f>'reduction_dist.'!I70</f>
        <v>18.1962648456057</v>
      </c>
      <c r="L30" s="3">
        <f>'reduction_dist.'!J70</f>
        <v>0</v>
      </c>
      <c r="M30" s="3">
        <f>'reduction_dist.'!K70</f>
        <v>27.27</v>
      </c>
      <c r="O30" s="47"/>
      <c r="P30" t="s">
        <v>151</v>
      </c>
      <c r="Q30" s="17">
        <v>0.5262</v>
      </c>
      <c r="R30" s="1" t="s">
        <v>1</v>
      </c>
      <c r="S30" s="20">
        <v>7.4399999999999994E-2</v>
      </c>
    </row>
    <row r="31" spans="1:21" x14ac:dyDescent="0.45">
      <c r="A31" s="47"/>
      <c r="B31" s="1" t="s">
        <v>2</v>
      </c>
      <c r="C31" s="3">
        <f>'reduction_dist.'!I71</f>
        <v>36.679000000000002</v>
      </c>
      <c r="D31" s="3">
        <f>'reduction_dist.'!J71</f>
        <v>33.85</v>
      </c>
      <c r="E31" s="3">
        <f>'reduction_dist.'!K71</f>
        <v>37.76</v>
      </c>
      <c r="G31" s="41">
        <f>'reduction_dist.'!I72</f>
        <v>1.81024296675191</v>
      </c>
      <c r="H31" s="41">
        <f>'reduction_dist.'!J72</f>
        <v>0</v>
      </c>
      <c r="I31" s="41">
        <f>'reduction_dist.'!K72</f>
        <v>32.29</v>
      </c>
      <c r="K31" s="3">
        <f>'reduction_dist.'!I73</f>
        <v>4.2949524940617501</v>
      </c>
      <c r="L31" s="3">
        <f>'reduction_dist.'!J73</f>
        <v>0</v>
      </c>
      <c r="M31" s="3">
        <f>'reduction_dist.'!K73</f>
        <v>37.76</v>
      </c>
      <c r="O31" s="47"/>
      <c r="Q31" s="18"/>
      <c r="R31" s="1" t="s">
        <v>2</v>
      </c>
      <c r="S31" s="20">
        <v>3.7499999999999999E-2</v>
      </c>
    </row>
    <row r="32" spans="1:21" x14ac:dyDescent="0.45">
      <c r="A32" s="47" t="s">
        <v>7</v>
      </c>
      <c r="B32" s="1" t="s">
        <v>0</v>
      </c>
      <c r="C32" s="3">
        <f>'reduction_dist.'!I74</f>
        <v>29.172515923566799</v>
      </c>
      <c r="D32" s="3">
        <f>'reduction_dist.'!J74</f>
        <v>13.64</v>
      </c>
      <c r="E32" s="3">
        <f>'reduction_dist.'!K74</f>
        <v>54.55</v>
      </c>
      <c r="G32" s="41">
        <f>'reduction_dist.'!I75</f>
        <v>8.1769115442278792</v>
      </c>
      <c r="H32" s="41">
        <f>'reduction_dist.'!J75</f>
        <v>0</v>
      </c>
      <c r="I32" s="41">
        <f>'reduction_dist.'!K75</f>
        <v>27.27</v>
      </c>
      <c r="K32" s="3">
        <f>'reduction_dist.'!I76</f>
        <v>14.8972171253822</v>
      </c>
      <c r="L32" s="3">
        <f>'reduction_dist.'!J76</f>
        <v>0</v>
      </c>
      <c r="M32" s="3">
        <f>'reduction_dist.'!K76</f>
        <v>54.55</v>
      </c>
      <c r="O32" s="47" t="s">
        <v>7</v>
      </c>
      <c r="P32" t="s">
        <v>150</v>
      </c>
      <c r="Q32" s="20">
        <v>0.69340000000000002</v>
      </c>
      <c r="R32" s="1" t="s">
        <v>0</v>
      </c>
      <c r="S32" s="20">
        <v>9.8100000000000007E-2</v>
      </c>
    </row>
    <row r="33" spans="1:19" x14ac:dyDescent="0.45">
      <c r="A33" s="47"/>
      <c r="B33" s="1" t="s">
        <v>1</v>
      </c>
      <c r="C33" s="3">
        <f>'reduction_dist.'!I77</f>
        <v>26.8859107806691</v>
      </c>
      <c r="D33" s="3">
        <f>'reduction_dist.'!J77</f>
        <v>15.79</v>
      </c>
      <c r="E33" s="3">
        <f>'reduction_dist.'!K77</f>
        <v>27.27</v>
      </c>
      <c r="G33" s="41">
        <f>'reduction_dist.'!I78</f>
        <v>20.2489466292134</v>
      </c>
      <c r="H33" s="41">
        <f>'reduction_dist.'!J78</f>
        <v>0</v>
      </c>
      <c r="I33" s="41">
        <f>'reduction_dist.'!K78</f>
        <v>27.27</v>
      </c>
      <c r="K33" s="3">
        <f>'reduction_dist.'!I79</f>
        <v>22.068868501529</v>
      </c>
      <c r="L33" s="3">
        <f>'reduction_dist.'!J79</f>
        <v>0</v>
      </c>
      <c r="M33" s="3">
        <f>'reduction_dist.'!K79</f>
        <v>27.27</v>
      </c>
      <c r="O33" s="47"/>
      <c r="P33" t="s">
        <v>151</v>
      </c>
      <c r="Q33" s="17">
        <v>0.30659999999999998</v>
      </c>
      <c r="R33" s="1" t="s">
        <v>1</v>
      </c>
      <c r="S33" s="20">
        <v>8.4099999999999994E-2</v>
      </c>
    </row>
    <row r="34" spans="1:19" s="4" customFormat="1" x14ac:dyDescent="0.45">
      <c r="A34" s="49"/>
      <c r="B34" s="2" t="s">
        <v>2</v>
      </c>
      <c r="C34" s="4">
        <f>'reduction_dist.'!I80</f>
        <v>0</v>
      </c>
      <c r="D34" s="4">
        <f>'reduction_dist.'!J80</f>
        <v>0</v>
      </c>
      <c r="E34" s="4">
        <f>'reduction_dist.'!K80</f>
        <v>0</v>
      </c>
      <c r="G34" s="44">
        <f>'reduction_dist.'!I81</f>
        <v>0</v>
      </c>
      <c r="H34" s="44">
        <f>'reduction_dist.'!J81</f>
        <v>0</v>
      </c>
      <c r="I34" s="44">
        <f>'reduction_dist.'!K81</f>
        <v>0</v>
      </c>
      <c r="K34" s="4">
        <f>'reduction_dist.'!I82</f>
        <v>0</v>
      </c>
      <c r="L34" s="4">
        <f>'reduction_dist.'!J82</f>
        <v>0</v>
      </c>
      <c r="M34" s="4">
        <f>'reduction_dist.'!K82</f>
        <v>0</v>
      </c>
      <c r="O34" s="49"/>
      <c r="Q34" s="19"/>
      <c r="R34" s="2" t="s">
        <v>2</v>
      </c>
      <c r="S34" s="22">
        <v>0</v>
      </c>
    </row>
    <row r="37" spans="1:19" x14ac:dyDescent="0.45">
      <c r="C37" s="1"/>
      <c r="D37" s="5"/>
      <c r="E37" s="5"/>
      <c r="F37" s="5"/>
    </row>
    <row r="38" spans="1:19" x14ac:dyDescent="0.45">
      <c r="C38" s="47" t="s">
        <v>162</v>
      </c>
      <c r="D38" s="47"/>
      <c r="E38" s="47"/>
      <c r="K38" s="47" t="s">
        <v>162</v>
      </c>
      <c r="L38" s="47"/>
      <c r="M38" s="47"/>
      <c r="P38" s="47" t="s">
        <v>161</v>
      </c>
      <c r="Q38" s="47"/>
      <c r="R38" s="47"/>
    </row>
    <row r="39" spans="1:19" x14ac:dyDescent="0.45">
      <c r="A39" s="50" t="s">
        <v>148</v>
      </c>
      <c r="B39" s="50"/>
      <c r="Q39" s="3" t="s">
        <v>18</v>
      </c>
      <c r="R39" s="3" t="s">
        <v>19</v>
      </c>
    </row>
    <row r="40" spans="1:19" x14ac:dyDescent="0.45">
      <c r="B40" s="7" t="s">
        <v>0</v>
      </c>
      <c r="D40" s="12">
        <f>MIN(D15,D18,D21,D26,D29,D32)</f>
        <v>12.28</v>
      </c>
      <c r="E40" s="12">
        <f>MAX(E15,E18,E21,E26,E29,E32)</f>
        <v>57.58</v>
      </c>
      <c r="F40" s="12"/>
      <c r="K40" s="7" t="s">
        <v>0</v>
      </c>
      <c r="L40" s="12">
        <f>MIN(L15,L18,L21,L26,L29,L32)</f>
        <v>0</v>
      </c>
      <c r="M40" s="12">
        <f>MAX(M15,M18,M21,M26,M29,M32)</f>
        <v>57.58</v>
      </c>
      <c r="P40" s="7" t="s">
        <v>0</v>
      </c>
      <c r="Q40" s="33">
        <f>MIN(S4,S7,S10,S15,S18,S21,S26,S29,S32)</f>
        <v>5.5E-2</v>
      </c>
      <c r="R40" s="33">
        <f>MAX(S4,S7,S10,S15,S18,S21,S26,S29,S32)</f>
        <v>0.5847</v>
      </c>
    </row>
    <row r="41" spans="1:19" x14ac:dyDescent="0.45">
      <c r="B41" s="7" t="s">
        <v>1</v>
      </c>
      <c r="D41" s="12">
        <f>MIN(D16,D19,D22,D27,D30,D33)</f>
        <v>15.79</v>
      </c>
      <c r="E41" s="12">
        <f>MAX(E16,E19,E22,E27,E30,E33)</f>
        <v>33.22</v>
      </c>
      <c r="F41" s="12"/>
      <c r="K41" s="7" t="s">
        <v>1</v>
      </c>
      <c r="L41" s="12">
        <f>MIN(L16,L19,L22,L27,L30,L33)</f>
        <v>0</v>
      </c>
      <c r="M41" s="12">
        <f>MAX(M16,M19,M22,M27,M30,M33)</f>
        <v>33.25</v>
      </c>
      <c r="P41" s="7" t="s">
        <v>1</v>
      </c>
      <c r="Q41" s="33">
        <f>MIN(S5,S8,S11,S16,S19,S22,S27,S30,S33)</f>
        <v>3.1899999999999998E-2</v>
      </c>
      <c r="R41" s="33">
        <f>MAX(S5,S8,S11,S16,S19,S22,S27,S30,S33)</f>
        <v>0.19719999999999999</v>
      </c>
    </row>
    <row r="42" spans="1:19" x14ac:dyDescent="0.45">
      <c r="B42" s="7" t="s">
        <v>2</v>
      </c>
      <c r="D42" s="12">
        <f>MIN(D17,D20,D23,D28,D31,D34)</f>
        <v>0</v>
      </c>
      <c r="E42" s="12">
        <f>MAX(E17,E20,E23,E28,E31,E34)</f>
        <v>37.96</v>
      </c>
      <c r="F42" s="12"/>
      <c r="K42" s="7" t="s">
        <v>2</v>
      </c>
      <c r="L42" s="12">
        <f>MIN(L17,L20,L23,L28,L31,L34)</f>
        <v>0</v>
      </c>
      <c r="M42" s="12">
        <f>MAX(M17,M20,M23,M28,M31,M34)</f>
        <v>44.01</v>
      </c>
      <c r="P42" s="7" t="s">
        <v>2</v>
      </c>
      <c r="Q42" s="33">
        <f>MIN(S6,S9,S12,S17,S20,S23,S28,S31,S34)</f>
        <v>0</v>
      </c>
      <c r="R42" s="33">
        <f>MAX(S6,S9,S12,S17,S20,S23,S28,S31,S34)</f>
        <v>0.09</v>
      </c>
    </row>
    <row r="46" spans="1:19" x14ac:dyDescent="0.45">
      <c r="A46" s="40" t="s">
        <v>163</v>
      </c>
    </row>
    <row r="47" spans="1:19" x14ac:dyDescent="0.45">
      <c r="C47" s="3" t="s">
        <v>17</v>
      </c>
      <c r="D47" s="3" t="s">
        <v>18</v>
      </c>
      <c r="E47" s="3" t="s">
        <v>19</v>
      </c>
    </row>
    <row r="48" spans="1:19" x14ac:dyDescent="0.45">
      <c r="B48" s="7" t="s">
        <v>0</v>
      </c>
      <c r="C48" s="11">
        <f>AVERAGE(C4,C7,C10,C15,C18,C21,C26,C29,C32)</f>
        <v>44.301199915096454</v>
      </c>
      <c r="D48" s="5">
        <f>MIN(D4,D7,D10,D15,D18,D21,D26,D29,D32)</f>
        <v>1.32</v>
      </c>
      <c r="E48" s="5">
        <f>MAX(E4,E7,E10,E15,E18,E21,E26,E29,E32)</f>
        <v>88.84</v>
      </c>
      <c r="K48" s="11">
        <f>AVERAGE(K4,K7,K10,K15,K18,K21,K26,K29,K32)</f>
        <v>32.270526632805577</v>
      </c>
      <c r="L48" s="5">
        <f>MIN(L4,L7,L10,L15,L18,L21,L26,L29,L32)</f>
        <v>0</v>
      </c>
      <c r="M48" s="5">
        <f>MAX(M4,M7,M10,M15,M18,M21,M26,M29,M32)</f>
        <v>88.84</v>
      </c>
      <c r="N48" s="5"/>
    </row>
    <row r="49" spans="2:14" x14ac:dyDescent="0.45">
      <c r="B49" s="7" t="s">
        <v>1</v>
      </c>
      <c r="C49" s="5">
        <f t="shared" ref="C49:C50" si="0">AVERAGE(C5,C8,C11,C16,C19,C22,C27,C30,C33)</f>
        <v>35.320018125553098</v>
      </c>
      <c r="D49" s="5">
        <f>MIN(D5,D8,D11,D16,D19,D22,D27,D30,D33)</f>
        <v>15.79</v>
      </c>
      <c r="E49" s="5">
        <f>MAX(E5,E8,E11,E16,E19,E22,E27,E30,E33)</f>
        <v>48.42</v>
      </c>
      <c r="K49" s="5">
        <f t="shared" ref="K49:K50" si="1">AVERAGE(K5,K8,K11,K16,K19,K22,K27,K30,K33)</f>
        <v>29.01773235883104</v>
      </c>
      <c r="L49" s="5">
        <f>MIN(L5,L8,L11,L16,L19,L22,L27,L30,L33)</f>
        <v>0</v>
      </c>
      <c r="M49" s="5">
        <f>MAX(M5,M8,M11,M16,M19,M22,M27,M30,M33)</f>
        <v>48.44</v>
      </c>
      <c r="N49" s="5"/>
    </row>
    <row r="50" spans="2:14" x14ac:dyDescent="0.45">
      <c r="B50" s="7" t="s">
        <v>2</v>
      </c>
      <c r="C50" s="5">
        <f t="shared" si="0"/>
        <v>28.473909389838525</v>
      </c>
      <c r="D50" s="5">
        <f>MIN(D6,D9,D12,D17,D20,D23,D28,D31,D34)</f>
        <v>0</v>
      </c>
      <c r="E50" s="5">
        <f>MAX(E6,E9,E12,E17,E20,E23,E28,E31,E34)</f>
        <v>85.23</v>
      </c>
      <c r="K50" s="5">
        <f t="shared" si="1"/>
        <v>7.4825389808837217</v>
      </c>
      <c r="L50" s="5">
        <f>MIN(L6,L9,L12,L17,L20,L23,L28,L31,L34)</f>
        <v>0</v>
      </c>
      <c r="M50" s="5">
        <f>MAX(M6,M9,M12,M17,M20,M23,M28,M31,M34)</f>
        <v>85.23</v>
      </c>
      <c r="N50" s="5"/>
    </row>
  </sheetData>
  <mergeCells count="34">
    <mergeCell ref="A7:A9"/>
    <mergeCell ref="A10:A12"/>
    <mergeCell ref="A4:A6"/>
    <mergeCell ref="A3:B3"/>
    <mergeCell ref="P38:R38"/>
    <mergeCell ref="C38:E38"/>
    <mergeCell ref="K38:M38"/>
    <mergeCell ref="G24:I24"/>
    <mergeCell ref="K24:M24"/>
    <mergeCell ref="O10:O12"/>
    <mergeCell ref="C13:E13"/>
    <mergeCell ref="G13:I13"/>
    <mergeCell ref="K13:M13"/>
    <mergeCell ref="A14:B14"/>
    <mergeCell ref="C24:E24"/>
    <mergeCell ref="O26:O28"/>
    <mergeCell ref="C2:E2"/>
    <mergeCell ref="G2:I2"/>
    <mergeCell ref="K2:M2"/>
    <mergeCell ref="O4:O6"/>
    <mergeCell ref="O7:O9"/>
    <mergeCell ref="A39:B39"/>
    <mergeCell ref="A29:A31"/>
    <mergeCell ref="A32:A34"/>
    <mergeCell ref="A25:B25"/>
    <mergeCell ref="A15:A17"/>
    <mergeCell ref="A18:A20"/>
    <mergeCell ref="A21:A23"/>
    <mergeCell ref="A26:A28"/>
    <mergeCell ref="O29:O31"/>
    <mergeCell ref="O32:O34"/>
    <mergeCell ref="O15:O17"/>
    <mergeCell ref="O18:O20"/>
    <mergeCell ref="O21:O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9E4C-A45A-4047-AA1D-7ADAD12D61BE}">
  <sheetPr>
    <tabColor rgb="FFFF0000"/>
  </sheetPr>
  <dimension ref="A1:J24"/>
  <sheetViews>
    <sheetView workbookViewId="0">
      <selection activeCell="K30" sqref="K30"/>
    </sheetView>
  </sheetViews>
  <sheetFormatPr defaultColWidth="9.1328125" defaultRowHeight="15.75" x14ac:dyDescent="0.45"/>
  <cols>
    <col min="1" max="6" width="9.1328125" style="3"/>
    <col min="7" max="7" width="10.1328125" style="3" bestFit="1" customWidth="1"/>
    <col min="8" max="16384" width="9.1328125" style="3"/>
  </cols>
  <sheetData>
    <row r="1" spans="1:10" x14ac:dyDescent="0.45">
      <c r="A1" s="1"/>
    </row>
    <row r="2" spans="1:10" x14ac:dyDescent="0.45">
      <c r="A2" s="1" t="s">
        <v>4</v>
      </c>
      <c r="C2" s="3" t="s">
        <v>5</v>
      </c>
      <c r="D2" s="3" t="s">
        <v>6</v>
      </c>
      <c r="E2" s="3" t="s">
        <v>7</v>
      </c>
      <c r="H2" s="3" t="s">
        <v>5</v>
      </c>
      <c r="I2" s="3" t="s">
        <v>6</v>
      </c>
      <c r="J2" s="3" t="s">
        <v>7</v>
      </c>
    </row>
    <row r="3" spans="1:10" x14ac:dyDescent="0.45">
      <c r="B3" s="1" t="s">
        <v>0</v>
      </c>
      <c r="C3" s="1">
        <v>58.4</v>
      </c>
      <c r="D3" s="1">
        <v>62.08</v>
      </c>
      <c r="E3" s="1">
        <v>62.64</v>
      </c>
      <c r="F3" s="1"/>
      <c r="G3" s="3" t="s">
        <v>145</v>
      </c>
      <c r="H3" s="3">
        <f>C3-C4</f>
        <v>5.519999999999996</v>
      </c>
      <c r="I3" s="3">
        <f t="shared" ref="I3:J3" si="0">D3-D4</f>
        <v>5.1999999999999957</v>
      </c>
      <c r="J3" s="3">
        <f t="shared" si="0"/>
        <v>0.88000000000000256</v>
      </c>
    </row>
    <row r="4" spans="1:10" x14ac:dyDescent="0.45">
      <c r="B4" s="1" t="s">
        <v>1</v>
      </c>
      <c r="C4" s="1">
        <v>52.88</v>
      </c>
      <c r="D4" s="1">
        <v>56.88</v>
      </c>
      <c r="E4" s="1">
        <v>61.76</v>
      </c>
      <c r="F4" s="1"/>
      <c r="G4" s="3" t="s">
        <v>146</v>
      </c>
      <c r="H4" s="3">
        <f>C3-C5</f>
        <v>7.0399999999999991</v>
      </c>
      <c r="I4" s="3">
        <f t="shared" ref="I4:J4" si="1">D3-D5</f>
        <v>5.6000000000000014</v>
      </c>
      <c r="J4" s="3">
        <f t="shared" si="1"/>
        <v>0</v>
      </c>
    </row>
    <row r="5" spans="1:10" x14ac:dyDescent="0.45">
      <c r="B5" s="1" t="s">
        <v>2</v>
      </c>
      <c r="C5" s="1">
        <v>51.36</v>
      </c>
      <c r="D5" s="1">
        <v>56.48</v>
      </c>
      <c r="E5" s="1">
        <v>62.64</v>
      </c>
      <c r="F5" s="1"/>
      <c r="G5" s="3" t="s">
        <v>147</v>
      </c>
      <c r="H5" s="3">
        <f>C3-C6</f>
        <v>18.72</v>
      </c>
      <c r="I5" s="3">
        <f t="shared" ref="I5:J5" si="2">D3-D6</f>
        <v>21.439999999999998</v>
      </c>
      <c r="J5" s="3">
        <f t="shared" si="2"/>
        <v>9.2800000000000011</v>
      </c>
    </row>
    <row r="6" spans="1:10" s="4" customFormat="1" x14ac:dyDescent="0.45">
      <c r="B6" s="2" t="s">
        <v>3</v>
      </c>
      <c r="C6" s="2">
        <v>39.68</v>
      </c>
      <c r="D6" s="2">
        <v>40.64</v>
      </c>
      <c r="E6" s="2">
        <v>53.36</v>
      </c>
      <c r="F6" s="2"/>
    </row>
    <row r="8" spans="1:10" x14ac:dyDescent="0.45">
      <c r="A8" s="3" t="s">
        <v>8</v>
      </c>
      <c r="C8" s="3" t="s">
        <v>5</v>
      </c>
      <c r="D8" s="3" t="s">
        <v>6</v>
      </c>
      <c r="E8" s="3" t="s">
        <v>7</v>
      </c>
      <c r="H8" s="3" t="s">
        <v>5</v>
      </c>
      <c r="I8" s="3" t="s">
        <v>6</v>
      </c>
      <c r="J8" s="3" t="s">
        <v>7</v>
      </c>
    </row>
    <row r="9" spans="1:10" x14ac:dyDescent="0.45">
      <c r="B9" s="1" t="s">
        <v>0</v>
      </c>
      <c r="C9" s="1">
        <v>61.36</v>
      </c>
      <c r="D9" s="1">
        <v>62.96</v>
      </c>
      <c r="E9" s="1">
        <v>65.760000000000005</v>
      </c>
      <c r="F9" s="1"/>
      <c r="G9" s="3" t="s">
        <v>145</v>
      </c>
      <c r="H9" s="3">
        <f>C9-C10</f>
        <v>4.5600000000000023</v>
      </c>
      <c r="I9" s="3">
        <f t="shared" ref="I9" si="3">D9-D10</f>
        <v>3.2000000000000028</v>
      </c>
      <c r="J9" s="3">
        <f t="shared" ref="J9" si="4">E9-E10</f>
        <v>0.80000000000001137</v>
      </c>
    </row>
    <row r="10" spans="1:10" x14ac:dyDescent="0.45">
      <c r="B10" s="1" t="s">
        <v>1</v>
      </c>
      <c r="C10" s="1">
        <v>56.8</v>
      </c>
      <c r="D10" s="1">
        <v>59.76</v>
      </c>
      <c r="E10" s="1">
        <v>64.959999999999994</v>
      </c>
      <c r="F10" s="1"/>
      <c r="G10" s="3" t="s">
        <v>146</v>
      </c>
      <c r="H10" s="3">
        <f>C9-C11</f>
        <v>7.1199999999999974</v>
      </c>
      <c r="I10" s="3">
        <f t="shared" ref="I10" si="5">D9-D11</f>
        <v>4.240000000000002</v>
      </c>
      <c r="J10" s="3">
        <f t="shared" ref="J10" si="6">E9-E11</f>
        <v>5.2800000000000082</v>
      </c>
    </row>
    <row r="11" spans="1:10" x14ac:dyDescent="0.45">
      <c r="B11" s="1" t="s">
        <v>2</v>
      </c>
      <c r="C11" s="1">
        <v>54.24</v>
      </c>
      <c r="D11" s="1">
        <v>58.72</v>
      </c>
      <c r="E11" s="1">
        <v>60.48</v>
      </c>
      <c r="F11" s="1"/>
      <c r="G11" s="3" t="s">
        <v>147</v>
      </c>
      <c r="H11" s="3">
        <f>C9-C12</f>
        <v>13.280000000000001</v>
      </c>
      <c r="I11" s="3">
        <f t="shared" ref="I11" si="7">D9-D12</f>
        <v>6.240000000000002</v>
      </c>
      <c r="J11" s="3">
        <f t="shared" ref="J11" si="8">E9-E12</f>
        <v>5.3600000000000065</v>
      </c>
    </row>
    <row r="12" spans="1:10" s="4" customFormat="1" x14ac:dyDescent="0.45">
      <c r="B12" s="2" t="s">
        <v>3</v>
      </c>
      <c r="C12" s="2">
        <v>48.08</v>
      </c>
      <c r="D12" s="2">
        <v>56.72</v>
      </c>
      <c r="E12" s="2">
        <v>60.4</v>
      </c>
      <c r="F12" s="2"/>
      <c r="H12" s="2"/>
    </row>
    <row r="13" spans="1:10" x14ac:dyDescent="0.45">
      <c r="H13" s="1"/>
    </row>
    <row r="14" spans="1:10" x14ac:dyDescent="0.45">
      <c r="A14" s="3" t="s">
        <v>9</v>
      </c>
      <c r="C14" s="3" t="s">
        <v>5</v>
      </c>
      <c r="D14" s="3" t="s">
        <v>6</v>
      </c>
      <c r="E14" s="3" t="s">
        <v>7</v>
      </c>
      <c r="H14" s="3" t="s">
        <v>5</v>
      </c>
      <c r="I14" s="3" t="s">
        <v>6</v>
      </c>
      <c r="J14" s="3" t="s">
        <v>7</v>
      </c>
    </row>
    <row r="15" spans="1:10" x14ac:dyDescent="0.45">
      <c r="B15" s="1" t="s">
        <v>0</v>
      </c>
      <c r="C15" s="1">
        <v>61.84</v>
      </c>
      <c r="D15" s="1">
        <v>64.16</v>
      </c>
      <c r="E15" s="1">
        <v>68.239999999999995</v>
      </c>
      <c r="F15" s="1"/>
      <c r="G15" s="3" t="s">
        <v>145</v>
      </c>
      <c r="H15" s="3">
        <f>C15-C16</f>
        <v>16.160000000000004</v>
      </c>
      <c r="I15" s="3">
        <f t="shared" ref="I15" si="9">D15-D16</f>
        <v>6.3199999999999932</v>
      </c>
      <c r="J15" s="3">
        <f t="shared" ref="J15" si="10">E15-E16</f>
        <v>3.3599999999999994</v>
      </c>
    </row>
    <row r="16" spans="1:10" x14ac:dyDescent="0.45">
      <c r="B16" s="1" t="s">
        <v>1</v>
      </c>
      <c r="C16" s="1">
        <v>45.68</v>
      </c>
      <c r="D16" s="1">
        <v>57.84</v>
      </c>
      <c r="E16" s="1">
        <v>64.88</v>
      </c>
      <c r="F16" s="1"/>
      <c r="G16" s="3" t="s">
        <v>146</v>
      </c>
      <c r="H16" s="3">
        <f>C15-C17</f>
        <v>7.8400000000000034</v>
      </c>
      <c r="I16" s="3">
        <f t="shared" ref="I16" si="11">D15-D17</f>
        <v>5.519999999999996</v>
      </c>
      <c r="J16" s="3">
        <f t="shared" ref="J16" si="12">E15-E17</f>
        <v>0.87999999999999545</v>
      </c>
    </row>
    <row r="17" spans="2:10" x14ac:dyDescent="0.45">
      <c r="B17" s="1" t="s">
        <v>2</v>
      </c>
      <c r="C17" s="1">
        <v>54</v>
      </c>
      <c r="D17" s="1">
        <v>58.64</v>
      </c>
      <c r="E17" s="1">
        <v>67.36</v>
      </c>
      <c r="F17" s="1"/>
      <c r="G17" s="3" t="s">
        <v>147</v>
      </c>
      <c r="H17" s="3">
        <f>C15-C18</f>
        <v>17.040000000000006</v>
      </c>
      <c r="I17" s="3">
        <f t="shared" ref="I17" si="13">D15-D18</f>
        <v>15.199999999999996</v>
      </c>
      <c r="J17" s="3">
        <f t="shared" ref="J17" si="14">E15-E18</f>
        <v>8.9599999999999937</v>
      </c>
    </row>
    <row r="18" spans="2:10" s="4" customFormat="1" x14ac:dyDescent="0.45">
      <c r="B18" s="2" t="s">
        <v>3</v>
      </c>
      <c r="C18" s="2">
        <v>44.8</v>
      </c>
      <c r="D18" s="2">
        <v>48.96</v>
      </c>
      <c r="E18" s="2">
        <v>59.28</v>
      </c>
      <c r="F18" s="2"/>
      <c r="H18" s="2"/>
    </row>
    <row r="19" spans="2:10" x14ac:dyDescent="0.45">
      <c r="H19" s="1" t="s">
        <v>18</v>
      </c>
      <c r="I19" s="3" t="s">
        <v>17</v>
      </c>
      <c r="J19" s="3" t="s">
        <v>19</v>
      </c>
    </row>
    <row r="20" spans="2:10" x14ac:dyDescent="0.45">
      <c r="G20" s="3" t="s">
        <v>145</v>
      </c>
      <c r="H20" s="11">
        <f>MIN(H3:J3,H9:J9,H15:J15)</f>
        <v>0.80000000000001137</v>
      </c>
      <c r="I20" s="5">
        <f>AVERAGE(H3:J3,H9:J9,H15:J15)</f>
        <v>5.1111111111111116</v>
      </c>
      <c r="J20" s="11">
        <f>MAX(H3:J3,H9:J9,H15:J15)</f>
        <v>16.160000000000004</v>
      </c>
    </row>
    <row r="21" spans="2:10" x14ac:dyDescent="0.45">
      <c r="G21" s="3" t="s">
        <v>146</v>
      </c>
      <c r="H21" s="11">
        <f t="shared" ref="H21" si="15">MIN(H4:J4,H10:J10,H16:J16)</f>
        <v>0</v>
      </c>
      <c r="I21" s="5">
        <f t="shared" ref="I21:I22" si="16">AVERAGE(H4:J4,H10:J10,H16:J16)</f>
        <v>4.8355555555555556</v>
      </c>
      <c r="J21" s="11">
        <f t="shared" ref="J21:J22" si="17">MAX(H4:J4,H10:J10,H16:J16)</f>
        <v>7.8400000000000034</v>
      </c>
    </row>
    <row r="22" spans="2:10" x14ac:dyDescent="0.45">
      <c r="G22" s="3" t="s">
        <v>147</v>
      </c>
      <c r="H22" s="11">
        <f>MIN(H5:J5,H11:J11,H17:J17)</f>
        <v>5.3600000000000065</v>
      </c>
      <c r="I22" s="5">
        <f t="shared" si="16"/>
        <v>12.835555555555558</v>
      </c>
      <c r="J22" s="11">
        <f t="shared" si="17"/>
        <v>21.439999999999998</v>
      </c>
    </row>
    <row r="24" spans="2:10" x14ac:dyDescent="0.45">
      <c r="G24" s="3" t="s">
        <v>149</v>
      </c>
      <c r="I24" s="10">
        <f>AVERAGE(H3:J4,H9:J10,H15:J16)</f>
        <v>4.9733333333333336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3AA6-3682-4B05-B451-25E201E59849}">
  <sheetPr>
    <tabColor rgb="FF00B050"/>
  </sheetPr>
  <dimension ref="A1:S64"/>
  <sheetViews>
    <sheetView tabSelected="1" topLeftCell="A13" workbookViewId="0">
      <selection activeCell="G6" sqref="G6"/>
    </sheetView>
  </sheetViews>
  <sheetFormatPr defaultColWidth="9.1328125" defaultRowHeight="15.75" x14ac:dyDescent="0.45"/>
  <cols>
    <col min="1" max="6" width="9.1328125" style="3"/>
    <col min="7" max="7" width="9.1328125" style="8"/>
    <col min="8" max="9" width="9.1328125" style="3"/>
    <col min="10" max="10" width="9.1328125" style="3" customWidth="1"/>
    <col min="11" max="16384" width="9.1328125" style="3"/>
  </cols>
  <sheetData>
    <row r="1" spans="1:19" x14ac:dyDescent="0.45">
      <c r="G1" s="8" t="s">
        <v>6</v>
      </c>
      <c r="N1" s="3" t="s">
        <v>5</v>
      </c>
    </row>
    <row r="2" spans="1:19" x14ac:dyDescent="0.45">
      <c r="C2" s="3" t="s">
        <v>5</v>
      </c>
      <c r="D2" s="3" t="s">
        <v>6</v>
      </c>
      <c r="E2" s="3" t="s">
        <v>7</v>
      </c>
      <c r="G2" s="8" t="s">
        <v>152</v>
      </c>
      <c r="H2" s="3" t="s">
        <v>153</v>
      </c>
      <c r="I2" s="3" t="s">
        <v>164</v>
      </c>
      <c r="K2" s="3" t="s">
        <v>145</v>
      </c>
      <c r="L2" s="47" t="s">
        <v>165</v>
      </c>
      <c r="M2" s="48"/>
      <c r="N2" s="8" t="s">
        <v>152</v>
      </c>
      <c r="O2" s="3" t="s">
        <v>153</v>
      </c>
      <c r="P2" s="3" t="s">
        <v>164</v>
      </c>
      <c r="R2" s="3" t="s">
        <v>145</v>
      </c>
    </row>
    <row r="3" spans="1:19" x14ac:dyDescent="0.45">
      <c r="A3" s="1" t="s">
        <v>4</v>
      </c>
      <c r="C3" s="3" t="s">
        <v>10</v>
      </c>
      <c r="D3" s="3" t="s">
        <v>10</v>
      </c>
      <c r="E3" s="3" t="s">
        <v>10</v>
      </c>
      <c r="G3" s="8" t="s">
        <v>155</v>
      </c>
      <c r="H3" s="3">
        <v>62.08</v>
      </c>
      <c r="I3" s="3">
        <v>3.5750000000000002</v>
      </c>
      <c r="K3" s="3" t="s">
        <v>153</v>
      </c>
      <c r="L3" s="3" t="s">
        <v>164</v>
      </c>
      <c r="N3" s="8" t="s">
        <v>155</v>
      </c>
      <c r="O3">
        <v>58.4</v>
      </c>
      <c r="P3">
        <f>C4/1000</f>
        <v>1.7110000000000001</v>
      </c>
      <c r="R3" s="3" t="s">
        <v>153</v>
      </c>
      <c r="S3" s="3" t="s">
        <v>164</v>
      </c>
    </row>
    <row r="4" spans="1:19" x14ac:dyDescent="0.45">
      <c r="B4" s="1" t="s">
        <v>0</v>
      </c>
      <c r="C4" s="3">
        <v>1711</v>
      </c>
      <c r="D4" s="3">
        <v>3575</v>
      </c>
      <c r="E4" s="3">
        <v>2976</v>
      </c>
      <c r="G4" s="45" t="s">
        <v>156</v>
      </c>
      <c r="H4" s="14">
        <v>56.88</v>
      </c>
      <c r="I4" s="14">
        <v>2.153</v>
      </c>
      <c r="K4" s="11">
        <f>H6-H4</f>
        <v>2.7199999999999989</v>
      </c>
      <c r="L4" s="13">
        <f>(I6-I4)/I4</f>
        <v>-7.3385973060845294E-2</v>
      </c>
      <c r="N4" s="45" t="s">
        <v>156</v>
      </c>
      <c r="O4">
        <v>52.88</v>
      </c>
      <c r="P4">
        <f t="shared" ref="P4:P5" si="0">C5/1000</f>
        <v>1.25</v>
      </c>
      <c r="R4" s="11">
        <f>O6-O4</f>
        <v>4.7999999999999972</v>
      </c>
      <c r="S4" s="13">
        <f>(P6-P4)/P4</f>
        <v>-2.080000000000002E-2</v>
      </c>
    </row>
    <row r="5" spans="1:19" x14ac:dyDescent="0.45">
      <c r="B5" s="1" t="s">
        <v>1</v>
      </c>
      <c r="C5" s="3">
        <v>1250</v>
      </c>
      <c r="D5" s="3">
        <v>2153</v>
      </c>
      <c r="G5" s="8" t="s">
        <v>157</v>
      </c>
      <c r="H5" s="3">
        <v>56.48</v>
      </c>
      <c r="I5" s="3">
        <v>1.1879999999999999</v>
      </c>
      <c r="N5" s="8" t="s">
        <v>157</v>
      </c>
      <c r="O5">
        <v>51.36</v>
      </c>
      <c r="P5">
        <f t="shared" si="0"/>
        <v>1.2050000000000001</v>
      </c>
    </row>
    <row r="6" spans="1:19" x14ac:dyDescent="0.45">
      <c r="B6" s="1" t="s">
        <v>2</v>
      </c>
      <c r="C6" s="3">
        <v>1205</v>
      </c>
      <c r="D6" s="3">
        <v>1188</v>
      </c>
      <c r="E6" s="3">
        <v>3573</v>
      </c>
      <c r="G6" s="45" t="s">
        <v>0</v>
      </c>
      <c r="H6" s="14">
        <v>59.6</v>
      </c>
      <c r="I6" s="14">
        <v>1.9950000000000001</v>
      </c>
      <c r="N6" s="45" t="s">
        <v>0</v>
      </c>
      <c r="O6">
        <v>57.68</v>
      </c>
      <c r="P6">
        <v>1.224</v>
      </c>
    </row>
    <row r="7" spans="1:19" x14ac:dyDescent="0.45">
      <c r="B7" s="1" t="s">
        <v>3</v>
      </c>
      <c r="C7" s="3">
        <v>291</v>
      </c>
      <c r="D7" s="3">
        <v>248</v>
      </c>
      <c r="E7" s="3">
        <v>798</v>
      </c>
      <c r="G7" s="8" t="s">
        <v>0</v>
      </c>
      <c r="H7" s="3">
        <v>60.32</v>
      </c>
      <c r="I7" s="3">
        <v>2.2320000000000002</v>
      </c>
      <c r="N7" s="8" t="s">
        <v>0</v>
      </c>
      <c r="O7">
        <v>58</v>
      </c>
      <c r="P7">
        <v>1.403</v>
      </c>
    </row>
    <row r="8" spans="1:19" x14ac:dyDescent="0.45">
      <c r="B8" s="1"/>
      <c r="G8" s="8" t="s">
        <v>0</v>
      </c>
      <c r="H8" s="3">
        <v>60.56</v>
      </c>
      <c r="I8" s="3">
        <v>2.3959999999999999</v>
      </c>
      <c r="N8" s="8"/>
    </row>
    <row r="9" spans="1:19" x14ac:dyDescent="0.45">
      <c r="B9" s="1"/>
      <c r="G9" s="8" t="s">
        <v>0</v>
      </c>
      <c r="H9" s="3">
        <v>60.72</v>
      </c>
      <c r="I9" s="3">
        <v>2.4940000000000002</v>
      </c>
      <c r="N9" s="8"/>
    </row>
    <row r="10" spans="1:19" x14ac:dyDescent="0.45">
      <c r="B10" s="1"/>
      <c r="G10" s="8" t="s">
        <v>0</v>
      </c>
      <c r="H10" s="3">
        <v>61.28</v>
      </c>
      <c r="I10" s="3">
        <v>2.5190000000000001</v>
      </c>
      <c r="N10" s="8"/>
    </row>
    <row r="11" spans="1:19" x14ac:dyDescent="0.45">
      <c r="G11" s="8" t="s">
        <v>0</v>
      </c>
      <c r="H11" s="3">
        <v>61.68</v>
      </c>
      <c r="I11" s="3">
        <v>2.5310000000000001</v>
      </c>
      <c r="N11" s="8"/>
    </row>
    <row r="12" spans="1:19" s="4" customFormat="1" x14ac:dyDescent="0.45">
      <c r="B12" s="2"/>
      <c r="G12" s="15"/>
    </row>
    <row r="13" spans="1:19" x14ac:dyDescent="0.45">
      <c r="C13" s="3" t="s">
        <v>5</v>
      </c>
      <c r="D13" s="3" t="s">
        <v>6</v>
      </c>
      <c r="E13" s="3" t="s">
        <v>7</v>
      </c>
      <c r="G13" s="8" t="s">
        <v>152</v>
      </c>
      <c r="H13" s="3" t="s">
        <v>153</v>
      </c>
      <c r="I13" s="3" t="s">
        <v>164</v>
      </c>
      <c r="K13" s="3" t="s">
        <v>145</v>
      </c>
      <c r="N13" s="8" t="s">
        <v>152</v>
      </c>
      <c r="O13" s="3" t="s">
        <v>153</v>
      </c>
      <c r="P13" s="3" t="s">
        <v>164</v>
      </c>
      <c r="R13" s="3" t="s">
        <v>145</v>
      </c>
    </row>
    <row r="14" spans="1:19" x14ac:dyDescent="0.45">
      <c r="A14" s="3" t="s">
        <v>8</v>
      </c>
      <c r="C14" s="3" t="s">
        <v>10</v>
      </c>
      <c r="D14" s="3" t="s">
        <v>10</v>
      </c>
      <c r="E14" s="3" t="s">
        <v>10</v>
      </c>
      <c r="G14" s="45" t="s">
        <v>155</v>
      </c>
      <c r="H14" s="14">
        <v>62.96</v>
      </c>
      <c r="I14" s="14">
        <v>2.5579999999999998</v>
      </c>
      <c r="K14" s="3" t="s">
        <v>153</v>
      </c>
      <c r="L14" s="3" t="s">
        <v>154</v>
      </c>
      <c r="N14" s="26" t="s">
        <v>155</v>
      </c>
      <c r="O14">
        <v>61.36</v>
      </c>
      <c r="P14">
        <f>C15/1000</f>
        <v>2.4430000000000001</v>
      </c>
      <c r="R14" s="3" t="s">
        <v>153</v>
      </c>
      <c r="S14" s="3" t="s">
        <v>164</v>
      </c>
    </row>
    <row r="15" spans="1:19" x14ac:dyDescent="0.45">
      <c r="B15" s="1" t="s">
        <v>0</v>
      </c>
      <c r="C15" s="3">
        <v>2443</v>
      </c>
      <c r="D15" s="3">
        <v>2558</v>
      </c>
      <c r="E15" s="3">
        <v>6703</v>
      </c>
      <c r="G15" s="45" t="s">
        <v>156</v>
      </c>
      <c r="H15" s="14">
        <v>59.76</v>
      </c>
      <c r="I15" s="14">
        <v>3.0209999999999999</v>
      </c>
      <c r="K15" s="11">
        <f>H14-H15</f>
        <v>3.2000000000000028</v>
      </c>
      <c r="L15" s="13">
        <f>(I14-I15)/I15</f>
        <v>-0.15326050976497851</v>
      </c>
      <c r="N15" s="45" t="s">
        <v>156</v>
      </c>
      <c r="O15">
        <v>56.8</v>
      </c>
      <c r="P15">
        <f t="shared" ref="P15:P16" si="1">C16/1000</f>
        <v>1.411</v>
      </c>
      <c r="R15" s="11">
        <f>O18-O15</f>
        <v>2.1600000000000037</v>
      </c>
      <c r="S15" s="13">
        <f>(P18-P15)/P15</f>
        <v>-0.13182140326009917</v>
      </c>
    </row>
    <row r="16" spans="1:19" x14ac:dyDescent="0.45">
      <c r="B16" s="1" t="s">
        <v>1</v>
      </c>
      <c r="C16" s="3">
        <v>1411</v>
      </c>
      <c r="D16" s="3">
        <v>3021</v>
      </c>
      <c r="G16" s="8" t="s">
        <v>157</v>
      </c>
      <c r="H16" s="3">
        <v>58.72</v>
      </c>
      <c r="I16" s="3">
        <v>1.554</v>
      </c>
      <c r="N16" s="8" t="s">
        <v>157</v>
      </c>
      <c r="O16">
        <v>54.24</v>
      </c>
      <c r="P16">
        <f t="shared" si="1"/>
        <v>1.1220000000000001</v>
      </c>
    </row>
    <row r="17" spans="1:19" x14ac:dyDescent="0.45">
      <c r="B17" s="1" t="s">
        <v>2</v>
      </c>
      <c r="C17" s="3">
        <v>1122</v>
      </c>
      <c r="D17" s="3">
        <v>1554</v>
      </c>
      <c r="E17" s="3">
        <v>3376</v>
      </c>
      <c r="G17" s="8" t="s">
        <v>0</v>
      </c>
      <c r="H17" s="3">
        <v>59.12</v>
      </c>
      <c r="I17" s="3">
        <v>1.7849999999999999</v>
      </c>
      <c r="N17" s="8" t="s">
        <v>0</v>
      </c>
      <c r="O17">
        <v>55.6</v>
      </c>
      <c r="P17">
        <v>1.1240000000000001</v>
      </c>
    </row>
    <row r="18" spans="1:19" x14ac:dyDescent="0.45">
      <c r="B18" s="1" t="s">
        <v>3</v>
      </c>
      <c r="C18" s="3">
        <v>599</v>
      </c>
      <c r="D18" s="3">
        <v>1346</v>
      </c>
      <c r="E18" s="3">
        <v>3802</v>
      </c>
      <c r="G18" s="8" t="s">
        <v>0</v>
      </c>
      <c r="H18" s="3">
        <v>60.4</v>
      </c>
      <c r="I18" s="3">
        <v>1.9359999999999999</v>
      </c>
      <c r="N18" s="45" t="s">
        <v>0</v>
      </c>
      <c r="O18">
        <v>58.96</v>
      </c>
      <c r="P18">
        <v>1.2250000000000001</v>
      </c>
    </row>
    <row r="19" spans="1:19" x14ac:dyDescent="0.45">
      <c r="G19" s="8" t="s">
        <v>0</v>
      </c>
      <c r="H19" s="3">
        <v>60.72</v>
      </c>
      <c r="I19" s="3">
        <v>1.982</v>
      </c>
      <c r="N19" s="8" t="s">
        <v>0</v>
      </c>
      <c r="O19">
        <v>59.28</v>
      </c>
      <c r="P19">
        <v>1.5289999999999999</v>
      </c>
    </row>
    <row r="20" spans="1:19" x14ac:dyDescent="0.45">
      <c r="G20" s="8" t="s">
        <v>0</v>
      </c>
      <c r="H20" s="3">
        <v>61.6</v>
      </c>
      <c r="I20" s="3">
        <v>2.3170000000000002</v>
      </c>
      <c r="N20" s="8" t="s">
        <v>0</v>
      </c>
      <c r="O20">
        <v>61.2</v>
      </c>
      <c r="P20">
        <v>1.589</v>
      </c>
    </row>
    <row r="21" spans="1:19" x14ac:dyDescent="0.45">
      <c r="N21" s="8"/>
    </row>
    <row r="22" spans="1:19" s="4" customFormat="1" x14ac:dyDescent="0.45">
      <c r="G22" s="15"/>
    </row>
    <row r="23" spans="1:19" x14ac:dyDescent="0.45">
      <c r="C23" s="3" t="s">
        <v>5</v>
      </c>
      <c r="D23" s="3" t="s">
        <v>6</v>
      </c>
      <c r="E23" s="3" t="s">
        <v>7</v>
      </c>
      <c r="G23" s="8" t="s">
        <v>152</v>
      </c>
      <c r="H23" s="3" t="s">
        <v>153</v>
      </c>
      <c r="I23" s="3" t="s">
        <v>164</v>
      </c>
      <c r="K23" s="3" t="s">
        <v>146</v>
      </c>
      <c r="N23" s="8" t="s">
        <v>152</v>
      </c>
      <c r="O23" s="3" t="s">
        <v>153</v>
      </c>
      <c r="P23" s="3" t="s">
        <v>164</v>
      </c>
      <c r="R23" s="3" t="s">
        <v>146</v>
      </c>
    </row>
    <row r="24" spans="1:19" x14ac:dyDescent="0.45">
      <c r="A24" s="3" t="s">
        <v>9</v>
      </c>
      <c r="C24" s="3" t="s">
        <v>10</v>
      </c>
      <c r="D24" s="3" t="s">
        <v>10</v>
      </c>
      <c r="E24" s="3" t="s">
        <v>10</v>
      </c>
      <c r="G24" s="8" t="s">
        <v>155</v>
      </c>
      <c r="H24" s="3">
        <v>64.16</v>
      </c>
      <c r="I24" s="3">
        <v>4.6230000000000002</v>
      </c>
      <c r="K24" s="3" t="s">
        <v>153</v>
      </c>
      <c r="L24" s="3" t="s">
        <v>154</v>
      </c>
      <c r="N24" s="8" t="s">
        <v>155</v>
      </c>
      <c r="O24">
        <v>61.84</v>
      </c>
      <c r="P24">
        <f>C25/1000</f>
        <v>3.5449999999999999</v>
      </c>
      <c r="R24" s="3" t="s">
        <v>153</v>
      </c>
      <c r="S24" s="3" t="s">
        <v>164</v>
      </c>
    </row>
    <row r="25" spans="1:19" x14ac:dyDescent="0.45">
      <c r="B25" s="1" t="s">
        <v>0</v>
      </c>
      <c r="C25" s="3">
        <v>3545</v>
      </c>
      <c r="D25" s="3">
        <v>4623</v>
      </c>
      <c r="E25" s="3">
        <v>4950</v>
      </c>
      <c r="G25" s="8" t="s">
        <v>156</v>
      </c>
      <c r="H25" s="3">
        <v>57.84</v>
      </c>
      <c r="I25" s="3">
        <v>0.80800000000000005</v>
      </c>
      <c r="K25" s="11">
        <f>H27-H26</f>
        <v>-0.39999999999999858</v>
      </c>
      <c r="L25" s="13">
        <f>(I27-I26)/I26</f>
        <v>-0.28100325127728748</v>
      </c>
      <c r="N25" s="8" t="s">
        <v>156</v>
      </c>
      <c r="O25">
        <v>45.68</v>
      </c>
      <c r="P25">
        <f t="shared" ref="P25:P26" si="2">C26/1000</f>
        <v>0.61399999999999999</v>
      </c>
      <c r="R25" s="11">
        <f>O27-O26</f>
        <v>1.4399999999999977</v>
      </c>
      <c r="S25" s="13">
        <f>(P27-P26)/P26</f>
        <v>8.0760095011876559E-2</v>
      </c>
    </row>
    <row r="26" spans="1:19" x14ac:dyDescent="0.45">
      <c r="B26" s="1" t="s">
        <v>1</v>
      </c>
      <c r="C26" s="3">
        <v>614</v>
      </c>
      <c r="D26" s="3">
        <v>808</v>
      </c>
      <c r="G26" s="45" t="s">
        <v>157</v>
      </c>
      <c r="H26" s="14">
        <v>58.64</v>
      </c>
      <c r="I26" s="14">
        <v>2.153</v>
      </c>
      <c r="N26" s="45" t="s">
        <v>157</v>
      </c>
      <c r="O26">
        <v>54</v>
      </c>
      <c r="P26">
        <f t="shared" si="2"/>
        <v>1.2629999999999999</v>
      </c>
    </row>
    <row r="27" spans="1:19" x14ac:dyDescent="0.45">
      <c r="B27" s="1" t="s">
        <v>2</v>
      </c>
      <c r="C27" s="3">
        <v>1263</v>
      </c>
      <c r="D27" s="3">
        <v>2153</v>
      </c>
      <c r="E27" s="3">
        <v>5140</v>
      </c>
      <c r="G27" s="45" t="s">
        <v>0</v>
      </c>
      <c r="H27" s="14">
        <v>58.24</v>
      </c>
      <c r="I27" s="14">
        <v>1.548</v>
      </c>
      <c r="N27" s="45" t="s">
        <v>0</v>
      </c>
      <c r="O27">
        <v>55.44</v>
      </c>
      <c r="P27">
        <v>1.365</v>
      </c>
    </row>
    <row r="28" spans="1:19" x14ac:dyDescent="0.45">
      <c r="B28" s="1" t="s">
        <v>3</v>
      </c>
      <c r="C28" s="3">
        <v>491</v>
      </c>
      <c r="D28" s="3">
        <v>1020</v>
      </c>
      <c r="E28" s="3">
        <v>2564</v>
      </c>
      <c r="G28" s="8" t="s">
        <v>0</v>
      </c>
      <c r="H28" s="3">
        <v>58.88</v>
      </c>
      <c r="I28" s="3">
        <v>2.3140000000000001</v>
      </c>
      <c r="N28" s="8" t="s">
        <v>0</v>
      </c>
      <c r="O28">
        <v>59.84</v>
      </c>
      <c r="P28">
        <v>1.829</v>
      </c>
    </row>
    <row r="29" spans="1:19" x14ac:dyDescent="0.45">
      <c r="G29" s="8" t="s">
        <v>0</v>
      </c>
      <c r="H29" s="3">
        <v>59.36</v>
      </c>
      <c r="I29" s="3">
        <v>2.7250000000000001</v>
      </c>
      <c r="N29" s="8"/>
    </row>
    <row r="30" spans="1:19" x14ac:dyDescent="0.45">
      <c r="G30" s="8" t="s">
        <v>0</v>
      </c>
      <c r="H30" s="3">
        <v>61.04</v>
      </c>
      <c r="I30" s="3">
        <v>3.6219999999999999</v>
      </c>
      <c r="N30" s="8"/>
    </row>
    <row r="31" spans="1:19" x14ac:dyDescent="0.45">
      <c r="G31" s="8" t="s">
        <v>0</v>
      </c>
      <c r="H31" s="3">
        <v>61.2</v>
      </c>
      <c r="I31" s="3">
        <v>3.7519999999999998</v>
      </c>
      <c r="N31" s="8"/>
    </row>
    <row r="32" spans="1:19" s="4" customFormat="1" x14ac:dyDescent="0.45">
      <c r="G32" s="15"/>
    </row>
    <row r="35" spans="6:12" x14ac:dyDescent="0.45">
      <c r="I35" s="3" t="s">
        <v>166</v>
      </c>
      <c r="K35" s="5">
        <f>AVERAGE(K4,K15,K25)</f>
        <v>1.840000000000001</v>
      </c>
      <c r="L35" s="46">
        <f>AVERAGE(L4,L15,L25,S4,S15,S25)</f>
        <v>-9.6585173725222337E-2</v>
      </c>
    </row>
    <row r="36" spans="6:12" x14ac:dyDescent="0.45">
      <c r="F36"/>
      <c r="G36" s="16"/>
      <c r="H36"/>
      <c r="I36"/>
      <c r="J36"/>
    </row>
    <row r="37" spans="6:12" x14ac:dyDescent="0.45">
      <c r="F37"/>
      <c r="G37" s="16"/>
      <c r="H37"/>
      <c r="I37"/>
      <c r="J37"/>
      <c r="K37"/>
    </row>
    <row r="38" spans="6:12" x14ac:dyDescent="0.45">
      <c r="F38"/>
      <c r="G38" s="16"/>
      <c r="H38"/>
      <c r="I38"/>
      <c r="J38"/>
      <c r="K38"/>
    </row>
    <row r="39" spans="6:12" x14ac:dyDescent="0.45">
      <c r="F39"/>
      <c r="G39" s="16"/>
      <c r="H39"/>
      <c r="I39"/>
      <c r="J39"/>
      <c r="K39"/>
    </row>
    <row r="40" spans="6:12" x14ac:dyDescent="0.45">
      <c r="G40" s="16"/>
      <c r="H40"/>
      <c r="I40"/>
      <c r="J40"/>
      <c r="K40"/>
      <c r="L40"/>
    </row>
    <row r="41" spans="6:12" x14ac:dyDescent="0.45">
      <c r="G41" s="16"/>
      <c r="H41"/>
      <c r="I41"/>
      <c r="J41"/>
      <c r="K41"/>
      <c r="L41"/>
    </row>
    <row r="42" spans="6:12" x14ac:dyDescent="0.45">
      <c r="G42" s="16"/>
      <c r="H42"/>
      <c r="I42"/>
      <c r="J42"/>
      <c r="K42"/>
      <c r="L42"/>
    </row>
    <row r="43" spans="6:12" x14ac:dyDescent="0.45">
      <c r="G43" s="16"/>
      <c r="H43"/>
      <c r="I43"/>
      <c r="J43"/>
      <c r="K43"/>
      <c r="L43"/>
    </row>
    <row r="44" spans="6:12" x14ac:dyDescent="0.45">
      <c r="G44" s="16"/>
      <c r="H44"/>
      <c r="I44"/>
      <c r="J44"/>
      <c r="K44"/>
      <c r="L44"/>
    </row>
    <row r="45" spans="6:12" x14ac:dyDescent="0.45">
      <c r="G45" s="16"/>
      <c r="H45"/>
      <c r="I45"/>
      <c r="J45"/>
      <c r="K45"/>
      <c r="L45"/>
    </row>
    <row r="46" spans="6:12" x14ac:dyDescent="0.45">
      <c r="F46"/>
      <c r="G46" s="16"/>
      <c r="H46"/>
      <c r="I46"/>
      <c r="J46"/>
    </row>
    <row r="47" spans="6:12" x14ac:dyDescent="0.45">
      <c r="F47"/>
      <c r="G47" s="16"/>
      <c r="H47"/>
      <c r="I47"/>
      <c r="J47"/>
    </row>
    <row r="48" spans="6:12" x14ac:dyDescent="0.45">
      <c r="F48"/>
      <c r="G48" s="16"/>
      <c r="H48"/>
      <c r="I48"/>
      <c r="J48"/>
      <c r="K48"/>
    </row>
    <row r="49" spans="6:12" x14ac:dyDescent="0.45">
      <c r="F49"/>
      <c r="G49" s="16"/>
      <c r="H49"/>
      <c r="I49"/>
      <c r="J49"/>
      <c r="K49"/>
    </row>
    <row r="50" spans="6:12" x14ac:dyDescent="0.45">
      <c r="F50"/>
      <c r="G50" s="16"/>
      <c r="H50"/>
      <c r="I50"/>
      <c r="J50"/>
      <c r="K50"/>
    </row>
    <row r="51" spans="6:12" x14ac:dyDescent="0.45">
      <c r="F51"/>
      <c r="G51" s="16"/>
      <c r="H51"/>
      <c r="I51"/>
      <c r="J51"/>
      <c r="K51"/>
      <c r="L51"/>
    </row>
    <row r="52" spans="6:12" x14ac:dyDescent="0.45">
      <c r="F52"/>
      <c r="G52" s="16"/>
      <c r="H52"/>
      <c r="I52"/>
      <c r="J52"/>
      <c r="K52"/>
      <c r="L52"/>
    </row>
    <row r="53" spans="6:12" x14ac:dyDescent="0.45">
      <c r="F53"/>
      <c r="G53" s="16"/>
      <c r="H53"/>
      <c r="I53"/>
      <c r="J53"/>
      <c r="K53"/>
      <c r="L53"/>
    </row>
    <row r="54" spans="6:12" x14ac:dyDescent="0.45">
      <c r="F54"/>
      <c r="G54" s="16"/>
      <c r="H54"/>
      <c r="I54"/>
      <c r="J54"/>
      <c r="K54"/>
      <c r="L54"/>
    </row>
    <row r="55" spans="6:12" x14ac:dyDescent="0.45">
      <c r="F55"/>
      <c r="G55" s="16"/>
      <c r="H55"/>
      <c r="I55"/>
      <c r="J55"/>
    </row>
    <row r="56" spans="6:12" x14ac:dyDescent="0.45">
      <c r="F56"/>
      <c r="G56" s="16"/>
      <c r="H56"/>
      <c r="I56"/>
      <c r="J56"/>
    </row>
    <row r="57" spans="6:12" x14ac:dyDescent="0.45">
      <c r="F57"/>
      <c r="G57" s="16"/>
      <c r="H57"/>
      <c r="I57"/>
      <c r="J57"/>
      <c r="K57"/>
    </row>
    <row r="58" spans="6:12" x14ac:dyDescent="0.45">
      <c r="F58"/>
      <c r="G58" s="16"/>
      <c r="H58"/>
      <c r="I58"/>
      <c r="J58"/>
      <c r="K58"/>
    </row>
    <row r="59" spans="6:12" x14ac:dyDescent="0.45">
      <c r="F59"/>
      <c r="G59" s="16"/>
      <c r="H59"/>
      <c r="I59"/>
      <c r="J59"/>
      <c r="K59"/>
    </row>
    <row r="60" spans="6:12" x14ac:dyDescent="0.45">
      <c r="G60" s="16"/>
      <c r="H60"/>
      <c r="I60"/>
      <c r="J60"/>
      <c r="K60"/>
      <c r="L60"/>
    </row>
    <row r="61" spans="6:12" x14ac:dyDescent="0.45">
      <c r="G61" s="16"/>
      <c r="H61"/>
      <c r="I61"/>
      <c r="J61"/>
      <c r="K61"/>
      <c r="L61"/>
    </row>
    <row r="62" spans="6:12" x14ac:dyDescent="0.45">
      <c r="G62" s="16"/>
      <c r="H62"/>
      <c r="I62"/>
      <c r="J62"/>
      <c r="K62"/>
      <c r="L62"/>
    </row>
    <row r="63" spans="6:12" x14ac:dyDescent="0.45">
      <c r="G63" s="16"/>
      <c r="H63"/>
      <c r="I63"/>
      <c r="J63"/>
      <c r="K63"/>
      <c r="L63"/>
    </row>
    <row r="64" spans="6:12" x14ac:dyDescent="0.45">
      <c r="G64" s="16"/>
      <c r="H64"/>
      <c r="I64"/>
      <c r="J64"/>
      <c r="K64"/>
      <c r="L64"/>
    </row>
  </sheetData>
  <mergeCells count="1">
    <mergeCell ref="L2:M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6471-B064-4717-9137-26BD2C3391D3}">
  <sheetPr>
    <tabColor theme="8" tint="-0.249977111117893"/>
  </sheetPr>
  <dimension ref="A1:U40"/>
  <sheetViews>
    <sheetView topLeftCell="A9" workbookViewId="0">
      <selection activeCell="R38" sqref="R38"/>
    </sheetView>
  </sheetViews>
  <sheetFormatPr defaultColWidth="9.1328125" defaultRowHeight="15.75" x14ac:dyDescent="0.45"/>
  <cols>
    <col min="1" max="2" width="9.1328125" style="3"/>
    <col min="3" max="3" width="12.46484375" style="3" bestFit="1" customWidth="1"/>
    <col min="4" max="5" width="9.1328125" style="3"/>
    <col min="6" max="7" width="9.1328125" style="3" bestFit="1" customWidth="1"/>
    <col min="8" max="8" width="9.265625" style="3" bestFit="1" customWidth="1"/>
    <col min="9" max="9" width="9.1328125" style="3"/>
    <col min="10" max="10" width="9.1328125" style="8"/>
    <col min="11" max="12" width="9.1328125" style="3"/>
    <col min="13" max="13" width="9.1328125" style="3" customWidth="1"/>
    <col min="14" max="14" width="9.1328125" style="3"/>
    <col min="15" max="16" width="11" style="3" bestFit="1" customWidth="1"/>
    <col min="17" max="16384" width="9.1328125" style="3"/>
  </cols>
  <sheetData>
    <row r="1" spans="1:19" x14ac:dyDescent="0.45">
      <c r="C1" s="47" t="s">
        <v>15</v>
      </c>
      <c r="D1" s="47"/>
      <c r="E1" s="47"/>
      <c r="F1" s="47" t="s">
        <v>13</v>
      </c>
      <c r="G1" s="47"/>
      <c r="H1" s="47"/>
      <c r="K1" s="47" t="s">
        <v>16</v>
      </c>
      <c r="L1" s="47"/>
      <c r="M1" s="47"/>
      <c r="N1" s="47"/>
    </row>
    <row r="2" spans="1:19" x14ac:dyDescent="0.45">
      <c r="A2" s="1" t="s">
        <v>4</v>
      </c>
      <c r="C2" s="3" t="s">
        <v>11</v>
      </c>
      <c r="D2" s="3" t="s">
        <v>12</v>
      </c>
      <c r="E2" s="3" t="s">
        <v>14</v>
      </c>
      <c r="F2" s="3" t="s">
        <v>11</v>
      </c>
      <c r="G2" s="3" t="s">
        <v>12</v>
      </c>
      <c r="H2" s="3" t="s">
        <v>14</v>
      </c>
      <c r="J2" s="26" t="s">
        <v>4</v>
      </c>
      <c r="L2" s="7" t="s">
        <v>19</v>
      </c>
      <c r="M2" s="3" t="s">
        <v>17</v>
      </c>
      <c r="N2" s="3" t="s">
        <v>18</v>
      </c>
      <c r="Q2" s="3" t="s">
        <v>18</v>
      </c>
      <c r="R2" s="3" t="s">
        <v>17</v>
      </c>
      <c r="S2" s="3" t="s">
        <v>19</v>
      </c>
    </row>
    <row r="3" spans="1:19" x14ac:dyDescent="0.45">
      <c r="B3" s="1" t="s">
        <v>0</v>
      </c>
      <c r="C3" s="3">
        <v>22382</v>
      </c>
      <c r="D3" s="3">
        <v>20225</v>
      </c>
      <c r="E3" s="3">
        <f>C3+D3</f>
        <v>42607</v>
      </c>
      <c r="F3" s="5">
        <f t="shared" ref="F3:H6" si="0">C3/3600</f>
        <v>6.2172222222222224</v>
      </c>
      <c r="G3" s="5">
        <f t="shared" si="0"/>
        <v>5.6180555555555554</v>
      </c>
      <c r="H3" s="5">
        <f t="shared" si="0"/>
        <v>11.835277777777778</v>
      </c>
      <c r="K3" s="1" t="s">
        <v>0</v>
      </c>
      <c r="L3" s="5">
        <v>6.9758749999999994</v>
      </c>
      <c r="M3" s="5">
        <v>5.0815124999999997</v>
      </c>
      <c r="N3" s="5">
        <v>3.2858874999999999</v>
      </c>
      <c r="O3" s="5"/>
      <c r="P3" s="3" t="s">
        <v>145</v>
      </c>
      <c r="Q3" s="34">
        <f>MIN(O21:O23)</f>
        <v>5.0888605407489827E-4</v>
      </c>
      <c r="R3" s="18">
        <f>AVERAGE(O21:O23)</f>
        <v>0.16351325838976841</v>
      </c>
      <c r="S3" s="33">
        <f>MAX(O21:O23)</f>
        <v>0.30384923479067411</v>
      </c>
    </row>
    <row r="4" spans="1:19" x14ac:dyDescent="0.45">
      <c r="B4" s="1" t="s">
        <v>1</v>
      </c>
      <c r="C4" s="3">
        <v>21368</v>
      </c>
      <c r="D4" s="3">
        <v>18859</v>
      </c>
      <c r="E4" s="3">
        <f t="shared" ref="E4:E18" si="1">C4+D4</f>
        <v>40227</v>
      </c>
      <c r="F4" s="5">
        <f t="shared" si="0"/>
        <v>5.9355555555555553</v>
      </c>
      <c r="G4" s="5">
        <f t="shared" si="0"/>
        <v>5.2386111111111111</v>
      </c>
      <c r="H4" s="5">
        <f t="shared" si="0"/>
        <v>11.174166666666666</v>
      </c>
      <c r="K4" s="1" t="s">
        <v>1</v>
      </c>
      <c r="L4" s="5">
        <v>5.8809500000000003</v>
      </c>
      <c r="M4" s="5">
        <v>4.4604447916666672</v>
      </c>
      <c r="N4" s="5">
        <v>2.5201437499999999</v>
      </c>
      <c r="O4" s="5"/>
      <c r="P4" s="3" t="s">
        <v>146</v>
      </c>
      <c r="Q4" s="34">
        <f>MIN(P21:P23)</f>
        <v>-8.6736483250431009E-3</v>
      </c>
      <c r="R4" s="18">
        <f>AVERAGE(P21:P23)</f>
        <v>5.543181480247017E-2</v>
      </c>
      <c r="S4" s="33">
        <f>MAX(P21:P23)</f>
        <v>0.17065260940977547</v>
      </c>
    </row>
    <row r="5" spans="1:19" x14ac:dyDescent="0.45">
      <c r="B5" s="1" t="s">
        <v>2</v>
      </c>
      <c r="C5" s="3">
        <v>21604</v>
      </c>
      <c r="D5" s="3">
        <v>18676</v>
      </c>
      <c r="E5" s="3">
        <f t="shared" si="1"/>
        <v>40280</v>
      </c>
      <c r="F5" s="5">
        <f t="shared" si="0"/>
        <v>6.0011111111111113</v>
      </c>
      <c r="G5" s="5">
        <f t="shared" si="0"/>
        <v>5.1877777777777778</v>
      </c>
      <c r="H5" s="5">
        <f t="shared" si="0"/>
        <v>11.188888888888888</v>
      </c>
      <c r="K5" s="1" t="s">
        <v>2</v>
      </c>
      <c r="L5" s="5">
        <v>5.9589625000000002</v>
      </c>
      <c r="M5" s="5">
        <v>4.7449864583333339</v>
      </c>
      <c r="N5" s="5">
        <v>3.3146374999999999</v>
      </c>
      <c r="O5" s="5"/>
      <c r="Q5" s="34"/>
      <c r="R5" s="34"/>
      <c r="S5" s="34"/>
    </row>
    <row r="6" spans="1:19" s="4" customFormat="1" x14ac:dyDescent="0.45">
      <c r="B6" s="2" t="s">
        <v>3</v>
      </c>
      <c r="D6" s="4">
        <v>16355</v>
      </c>
      <c r="E6" s="4">
        <f t="shared" si="1"/>
        <v>16355</v>
      </c>
      <c r="F6" s="6">
        <f t="shared" si="0"/>
        <v>0</v>
      </c>
      <c r="G6" s="6">
        <f t="shared" si="0"/>
        <v>4.5430555555555552</v>
      </c>
      <c r="H6" s="6">
        <f t="shared" si="0"/>
        <v>4.5430555555555552</v>
      </c>
      <c r="J6" s="15"/>
      <c r="K6" s="2"/>
      <c r="O6" s="6"/>
      <c r="P6" s="6"/>
      <c r="Q6" s="35"/>
      <c r="R6" s="35"/>
      <c r="S6" s="35"/>
    </row>
    <row r="7" spans="1:19" x14ac:dyDescent="0.45">
      <c r="F7" s="5"/>
      <c r="G7" s="5"/>
      <c r="H7" s="5"/>
      <c r="O7" s="5"/>
      <c r="P7" s="5"/>
      <c r="Q7" s="34"/>
      <c r="R7" s="34"/>
      <c r="S7" s="34"/>
    </row>
    <row r="8" spans="1:19" x14ac:dyDescent="0.45">
      <c r="A8" s="3" t="s">
        <v>8</v>
      </c>
      <c r="F8" s="5"/>
      <c r="G8" s="5"/>
      <c r="H8" s="5"/>
      <c r="J8" s="8" t="s">
        <v>8</v>
      </c>
      <c r="L8" s="7" t="s">
        <v>19</v>
      </c>
      <c r="M8" s="3" t="s">
        <v>17</v>
      </c>
      <c r="N8" s="3" t="s">
        <v>18</v>
      </c>
      <c r="O8" s="5"/>
      <c r="P8" s="5"/>
      <c r="Q8" s="34" t="s">
        <v>18</v>
      </c>
      <c r="R8" s="34" t="s">
        <v>17</v>
      </c>
      <c r="S8" s="34" t="s">
        <v>19</v>
      </c>
    </row>
    <row r="9" spans="1:19" x14ac:dyDescent="0.45">
      <c r="B9" s="1" t="s">
        <v>0</v>
      </c>
      <c r="C9" s="3">
        <v>8746</v>
      </c>
      <c r="D9" s="3">
        <v>18850</v>
      </c>
      <c r="E9" s="3">
        <f t="shared" si="1"/>
        <v>27596</v>
      </c>
      <c r="F9" s="5">
        <f t="shared" ref="F9:H12" si="2">C9/3600</f>
        <v>2.4294444444444445</v>
      </c>
      <c r="G9" s="5">
        <f t="shared" si="2"/>
        <v>5.2361111111111107</v>
      </c>
      <c r="H9" s="5">
        <f t="shared" si="2"/>
        <v>7.6655555555555557</v>
      </c>
      <c r="K9" s="1" t="s">
        <v>0</v>
      </c>
      <c r="L9" s="5">
        <v>2.9472083333333332</v>
      </c>
      <c r="M9" s="5">
        <v>2.545479166666667</v>
      </c>
      <c r="N9" s="5">
        <v>2.3347458333333333</v>
      </c>
      <c r="O9" s="5"/>
      <c r="P9" s="3" t="s">
        <v>145</v>
      </c>
      <c r="Q9" s="34">
        <f>MIN(O28:O30)</f>
        <v>2.0242436131176315E-2</v>
      </c>
      <c r="R9" s="18">
        <f>AVERAGE(O28:O30)</f>
        <v>3.3254079871002019E-2</v>
      </c>
      <c r="S9" s="18">
        <f>MAX(O28:O30)</f>
        <v>5.025621994054634E-2</v>
      </c>
    </row>
    <row r="10" spans="1:19" x14ac:dyDescent="0.45">
      <c r="B10" s="1" t="s">
        <v>1</v>
      </c>
      <c r="C10" s="3">
        <v>8461</v>
      </c>
      <c r="D10" s="3">
        <v>18596</v>
      </c>
      <c r="E10" s="3">
        <f t="shared" si="1"/>
        <v>27057</v>
      </c>
      <c r="F10" s="5">
        <f t="shared" si="2"/>
        <v>2.3502777777777779</v>
      </c>
      <c r="G10" s="5">
        <f t="shared" si="2"/>
        <v>5.1655555555555557</v>
      </c>
      <c r="H10" s="5">
        <f t="shared" si="2"/>
        <v>7.5158333333333331</v>
      </c>
      <c r="K10" s="1" t="s">
        <v>1</v>
      </c>
      <c r="L10" s="5">
        <v>2.8887333333333332</v>
      </c>
      <c r="M10" s="5">
        <v>2.4664333333333333</v>
      </c>
      <c r="N10" s="5">
        <v>2.2230250000000003</v>
      </c>
      <c r="O10" s="5"/>
      <c r="P10" s="3" t="s">
        <v>146</v>
      </c>
      <c r="Q10" s="34">
        <f>MIN(P28:P30)</f>
        <v>2.3106421347277077E-2</v>
      </c>
      <c r="R10" s="18">
        <f>AVERAGE(P28:P30)</f>
        <v>3.5057050450167902E-2</v>
      </c>
      <c r="S10" s="18">
        <f>MAX(P28:P30)</f>
        <v>4.8883988738806186E-2</v>
      </c>
    </row>
    <row r="11" spans="1:19" x14ac:dyDescent="0.45">
      <c r="B11" s="1" t="s">
        <v>2</v>
      </c>
      <c r="C11" s="3">
        <v>8401</v>
      </c>
      <c r="D11" s="3">
        <v>19805</v>
      </c>
      <c r="E11" s="3">
        <f t="shared" si="1"/>
        <v>28206</v>
      </c>
      <c r="F11" s="5">
        <f t="shared" si="2"/>
        <v>2.3336111111111113</v>
      </c>
      <c r="G11" s="5">
        <f t="shared" si="2"/>
        <v>5.5013888888888891</v>
      </c>
      <c r="H11" s="5">
        <f t="shared" si="2"/>
        <v>7.835</v>
      </c>
      <c r="K11" s="1" t="s">
        <v>2</v>
      </c>
      <c r="L11" s="5">
        <v>2.8525583333333335</v>
      </c>
      <c r="M11" s="5">
        <v>2.4599333333333333</v>
      </c>
      <c r="N11" s="5">
        <v>2.2259333333333333</v>
      </c>
      <c r="O11" s="5"/>
      <c r="Q11" s="34"/>
      <c r="R11" s="34"/>
      <c r="S11" s="34"/>
    </row>
    <row r="12" spans="1:19" s="4" customFormat="1" x14ac:dyDescent="0.45">
      <c r="B12" s="2" t="s">
        <v>3</v>
      </c>
      <c r="D12" s="4">
        <v>18054</v>
      </c>
      <c r="E12" s="4">
        <f t="shared" si="1"/>
        <v>18054</v>
      </c>
      <c r="F12" s="6">
        <f t="shared" si="2"/>
        <v>0</v>
      </c>
      <c r="G12" s="6">
        <f t="shared" si="2"/>
        <v>5.0149999999999997</v>
      </c>
      <c r="H12" s="6">
        <f t="shared" si="2"/>
        <v>5.0149999999999997</v>
      </c>
      <c r="J12" s="15"/>
      <c r="K12" s="2"/>
      <c r="O12" s="6"/>
      <c r="P12" s="6"/>
      <c r="Q12" s="35"/>
      <c r="R12" s="35"/>
      <c r="S12" s="35"/>
    </row>
    <row r="13" spans="1:19" x14ac:dyDescent="0.45">
      <c r="F13" s="5"/>
      <c r="G13" s="5"/>
      <c r="H13" s="5"/>
      <c r="O13" s="5"/>
      <c r="P13" s="5"/>
      <c r="Q13" s="34"/>
      <c r="R13" s="34"/>
      <c r="S13" s="34"/>
    </row>
    <row r="14" spans="1:19" x14ac:dyDescent="0.45">
      <c r="A14" s="3" t="s">
        <v>9</v>
      </c>
      <c r="F14" s="5"/>
      <c r="G14" s="5"/>
      <c r="H14" s="5"/>
      <c r="J14" s="8" t="s">
        <v>9</v>
      </c>
      <c r="L14" s="7" t="s">
        <v>19</v>
      </c>
      <c r="M14" s="3" t="s">
        <v>17</v>
      </c>
      <c r="N14" s="3" t="s">
        <v>18</v>
      </c>
      <c r="O14" s="5"/>
      <c r="P14" s="5"/>
      <c r="Q14" s="34" t="s">
        <v>18</v>
      </c>
      <c r="R14" s="34" t="s">
        <v>17</v>
      </c>
      <c r="S14" s="34" t="s">
        <v>19</v>
      </c>
    </row>
    <row r="15" spans="1:19" x14ac:dyDescent="0.45">
      <c r="B15" s="1" t="s">
        <v>0</v>
      </c>
      <c r="C15" s="3">
        <v>16734</v>
      </c>
      <c r="D15" s="3">
        <v>21050</v>
      </c>
      <c r="E15" s="3">
        <f t="shared" si="1"/>
        <v>37784</v>
      </c>
      <c r="F15" s="5">
        <f t="shared" ref="F15:H18" si="3">C15/3600</f>
        <v>4.6483333333333334</v>
      </c>
      <c r="G15" s="5">
        <f t="shared" si="3"/>
        <v>5.8472222222222223</v>
      </c>
      <c r="H15" s="5">
        <f t="shared" si="3"/>
        <v>10.495555555555555</v>
      </c>
      <c r="K15" s="1" t="s">
        <v>0</v>
      </c>
      <c r="L15" s="5">
        <v>4.42835</v>
      </c>
      <c r="M15" s="5">
        <v>3.8063499999999997</v>
      </c>
      <c r="N15" s="5">
        <v>3.4325437499999998</v>
      </c>
      <c r="O15" s="5"/>
      <c r="P15" s="3" t="s">
        <v>145</v>
      </c>
      <c r="Q15" s="36">
        <f>MIN(O35:O37)</f>
        <v>-0.18268361103374611</v>
      </c>
      <c r="R15" s="18">
        <f>AVERAGE(O35:O37)</f>
        <v>-4.4908952218354448E-2</v>
      </c>
      <c r="S15" s="18">
        <f>MAX(O35:O37)</f>
        <v>4.3332313823976801E-2</v>
      </c>
    </row>
    <row r="16" spans="1:19" x14ac:dyDescent="0.45">
      <c r="B16" s="1" t="s">
        <v>1</v>
      </c>
      <c r="C16" s="3">
        <v>16918</v>
      </c>
      <c r="D16" s="3">
        <v>19734</v>
      </c>
      <c r="E16" s="3">
        <f t="shared" si="1"/>
        <v>36652</v>
      </c>
      <c r="F16" s="5">
        <f t="shared" si="3"/>
        <v>4.6994444444444445</v>
      </c>
      <c r="G16" s="5">
        <f t="shared" si="3"/>
        <v>5.4816666666666665</v>
      </c>
      <c r="H16" s="5">
        <f t="shared" si="3"/>
        <v>10.181111111111111</v>
      </c>
      <c r="K16" s="1" t="s">
        <v>1</v>
      </c>
      <c r="L16" s="5">
        <v>4.4079656250000001</v>
      </c>
      <c r="M16" s="5">
        <v>4.0171364583333338</v>
      </c>
      <c r="N16" s="5">
        <v>3.2899812500000003</v>
      </c>
      <c r="O16" s="5"/>
      <c r="P16" s="3" t="s">
        <v>146</v>
      </c>
      <c r="Q16" s="36">
        <f>MIN(P35:P37)</f>
        <v>-2.7067101752745019E-2</v>
      </c>
      <c r="R16" s="18">
        <f>AVERAGE(P35:P37)</f>
        <v>-8.8084351853761084E-3</v>
      </c>
      <c r="S16" s="18">
        <f>MAX(P35:P37)</f>
        <v>6.3181067694001447E-3</v>
      </c>
    </row>
    <row r="17" spans="2:21" x14ac:dyDescent="0.45">
      <c r="B17" s="1" t="s">
        <v>2</v>
      </c>
      <c r="C17" s="3">
        <v>16696</v>
      </c>
      <c r="D17" s="3">
        <v>20699</v>
      </c>
      <c r="E17" s="3">
        <f t="shared" si="1"/>
        <v>37395</v>
      </c>
      <c r="F17" s="5">
        <f t="shared" si="3"/>
        <v>4.637777777777778</v>
      </c>
      <c r="G17" s="5">
        <f t="shared" si="3"/>
        <v>5.7497222222222222</v>
      </c>
      <c r="H17" s="5">
        <f t="shared" si="3"/>
        <v>10.387499999999999</v>
      </c>
      <c r="K17" s="1" t="s">
        <v>2</v>
      </c>
      <c r="L17" s="5">
        <v>4.4005468749999999</v>
      </c>
      <c r="M17" s="5">
        <v>3.835684375</v>
      </c>
      <c r="N17" s="5">
        <v>3.5280374999999999</v>
      </c>
      <c r="O17" s="5"/>
      <c r="Q17" s="5"/>
    </row>
    <row r="18" spans="2:21" s="4" customFormat="1" x14ac:dyDescent="0.45">
      <c r="B18" s="2" t="s">
        <v>3</v>
      </c>
      <c r="D18" s="4">
        <v>18305</v>
      </c>
      <c r="E18" s="4">
        <f t="shared" si="1"/>
        <v>18305</v>
      </c>
      <c r="F18" s="6">
        <f t="shared" si="3"/>
        <v>0</v>
      </c>
      <c r="G18" s="6">
        <f t="shared" si="3"/>
        <v>5.0847222222222221</v>
      </c>
      <c r="H18" s="6">
        <f t="shared" si="3"/>
        <v>5.0847222222222221</v>
      </c>
      <c r="J18" s="15"/>
      <c r="K18" s="2"/>
      <c r="O18" s="6"/>
      <c r="P18" s="6"/>
      <c r="Q18" s="6"/>
    </row>
    <row r="20" spans="2:21" x14ac:dyDescent="0.45">
      <c r="J20" s="8" t="s">
        <v>4</v>
      </c>
      <c r="K20" s="1" t="s">
        <v>0</v>
      </c>
      <c r="L20" s="1" t="s">
        <v>1</v>
      </c>
      <c r="M20" s="1" t="s">
        <v>2</v>
      </c>
      <c r="O20" s="3" t="s">
        <v>145</v>
      </c>
      <c r="P20" s="3" t="s">
        <v>146</v>
      </c>
      <c r="S20" s="47" t="s">
        <v>160</v>
      </c>
      <c r="T20" s="47"/>
      <c r="U20" s="47"/>
    </row>
    <row r="21" spans="2:21" x14ac:dyDescent="0.45">
      <c r="J21" s="27" t="s">
        <v>7</v>
      </c>
      <c r="K21" s="28">
        <v>3.2858874999999999</v>
      </c>
      <c r="L21" s="28">
        <v>2.5201437499999999</v>
      </c>
      <c r="M21" s="29">
        <v>3.3146374999999999</v>
      </c>
      <c r="N21" s="5"/>
      <c r="O21" s="32">
        <f>(K21-L21)/L21</f>
        <v>0.30384923479067411</v>
      </c>
      <c r="P21" s="32">
        <f>(K21-M21)/M21</f>
        <v>-8.6736483250431009E-3</v>
      </c>
      <c r="T21" s="7" t="s">
        <v>18</v>
      </c>
      <c r="U21" s="7" t="s">
        <v>19</v>
      </c>
    </row>
    <row r="22" spans="2:21" x14ac:dyDescent="0.45">
      <c r="J22" s="8" t="s">
        <v>6</v>
      </c>
      <c r="K22" s="5">
        <v>4.9827750000000002</v>
      </c>
      <c r="L22" s="5">
        <v>4.9802406250000004</v>
      </c>
      <c r="M22" s="30">
        <v>4.9613593749999998</v>
      </c>
      <c r="N22" s="5"/>
      <c r="O22" s="32">
        <f>(K22-L22)/L22</f>
        <v>5.0888605407489827E-4</v>
      </c>
      <c r="P22" s="32">
        <f>(K22-M22)/M22</f>
        <v>4.3164833226781484E-3</v>
      </c>
      <c r="S22" s="3" t="s">
        <v>145</v>
      </c>
      <c r="T22" s="33">
        <f>MIN(O21:O37)</f>
        <v>-0.18268361103374611</v>
      </c>
      <c r="U22" s="33">
        <f>MAX(O21:O37)</f>
        <v>0.30384923479067411</v>
      </c>
    </row>
    <row r="23" spans="2:21" x14ac:dyDescent="0.45">
      <c r="J23" s="15" t="s">
        <v>5</v>
      </c>
      <c r="K23" s="6">
        <v>6.9758749999999994</v>
      </c>
      <c r="L23" s="6">
        <v>5.8809500000000003</v>
      </c>
      <c r="M23" s="31">
        <v>5.9589625000000002</v>
      </c>
      <c r="N23" s="5"/>
      <c r="O23" s="32">
        <f>(K23-L23)/L23</f>
        <v>0.18618165432455624</v>
      </c>
      <c r="P23" s="32">
        <f>(K23-M23)/M23</f>
        <v>0.17065260940977547</v>
      </c>
      <c r="S23" s="3" t="s">
        <v>146</v>
      </c>
      <c r="T23" s="33">
        <f>MIN(P21:P37)</f>
        <v>-2.7067101752745019E-2</v>
      </c>
      <c r="U23" s="33">
        <f>MAX(P21:P37)</f>
        <v>0.17065260940977547</v>
      </c>
    </row>
    <row r="24" spans="2:21" x14ac:dyDescent="0.45">
      <c r="J24" s="27" t="s">
        <v>19</v>
      </c>
      <c r="K24" s="28">
        <v>6.9758749999999994</v>
      </c>
      <c r="L24" s="28">
        <v>5.8809500000000003</v>
      </c>
      <c r="M24" s="29">
        <v>5.9589625000000002</v>
      </c>
      <c r="N24" s="5"/>
    </row>
    <row r="25" spans="2:21" x14ac:dyDescent="0.45">
      <c r="J25" s="8" t="s">
        <v>17</v>
      </c>
      <c r="K25" s="5">
        <v>5.0815124999999997</v>
      </c>
      <c r="L25" s="5">
        <v>4.4604447916666672</v>
      </c>
      <c r="M25" s="30">
        <v>4.7449864583333339</v>
      </c>
      <c r="N25" s="5"/>
    </row>
    <row r="26" spans="2:21" x14ac:dyDescent="0.45">
      <c r="J26" s="15" t="s">
        <v>18</v>
      </c>
      <c r="K26" s="6">
        <v>3.2858874999999999</v>
      </c>
      <c r="L26" s="6">
        <v>2.5201437499999999</v>
      </c>
      <c r="M26" s="31">
        <v>3.3146374999999999</v>
      </c>
      <c r="N26" s="5"/>
    </row>
    <row r="27" spans="2:21" x14ac:dyDescent="0.45">
      <c r="J27" s="8" t="s">
        <v>8</v>
      </c>
      <c r="K27" s="1" t="s">
        <v>0</v>
      </c>
      <c r="L27" s="1" t="s">
        <v>1</v>
      </c>
      <c r="M27" s="1" t="s">
        <v>2</v>
      </c>
      <c r="N27" s="5"/>
    </row>
    <row r="28" spans="2:21" x14ac:dyDescent="0.45">
      <c r="J28" s="27" t="s">
        <v>7</v>
      </c>
      <c r="K28" s="28">
        <v>2.9472083333333332</v>
      </c>
      <c r="L28" s="28">
        <v>2.8887333333333332</v>
      </c>
      <c r="M28" s="29">
        <v>2.8525583333333335</v>
      </c>
      <c r="N28" s="5"/>
      <c r="O28" s="32">
        <f>(K28-L28)/L28</f>
        <v>2.0242436131176315E-2</v>
      </c>
      <c r="P28" s="32">
        <f>(K28-M28)/M28</f>
        <v>3.3180741264420423E-2</v>
      </c>
    </row>
    <row r="29" spans="2:21" x14ac:dyDescent="0.45">
      <c r="J29" s="8" t="s">
        <v>6</v>
      </c>
      <c r="K29" s="5">
        <v>2.3347458333333333</v>
      </c>
      <c r="L29" s="5">
        <v>2.2230250000000003</v>
      </c>
      <c r="M29" s="30">
        <v>2.2259333333333333</v>
      </c>
      <c r="N29" s="5"/>
      <c r="O29" s="32">
        <f>(K29-L29)/L29</f>
        <v>5.025621994054634E-2</v>
      </c>
      <c r="P29" s="32">
        <f>(K29-M29)/M29</f>
        <v>4.8883988738806186E-2</v>
      </c>
    </row>
    <row r="30" spans="2:21" x14ac:dyDescent="0.45">
      <c r="J30" s="15" t="s">
        <v>5</v>
      </c>
      <c r="K30" s="6">
        <v>2.3544833333333335</v>
      </c>
      <c r="L30" s="6">
        <v>2.2875416666666668</v>
      </c>
      <c r="M30" s="31">
        <v>2.3013083333333335</v>
      </c>
      <c r="N30" s="5"/>
      <c r="O30" s="32">
        <f>(K30-L30)/L30</f>
        <v>2.9263583541283403E-2</v>
      </c>
      <c r="P30" s="32">
        <f>(K30-M30)/M30</f>
        <v>2.3106421347277077E-2</v>
      </c>
    </row>
    <row r="31" spans="2:21" x14ac:dyDescent="0.45">
      <c r="J31" s="27" t="s">
        <v>19</v>
      </c>
      <c r="K31" s="28">
        <v>2.9472083333333332</v>
      </c>
      <c r="L31" s="28">
        <v>2.8887333333333332</v>
      </c>
      <c r="M31" s="29">
        <v>2.8525583333333335</v>
      </c>
      <c r="N31" s="5"/>
    </row>
    <row r="32" spans="2:21" x14ac:dyDescent="0.45">
      <c r="J32" s="8" t="s">
        <v>17</v>
      </c>
      <c r="K32" s="5">
        <v>2.545479166666667</v>
      </c>
      <c r="L32" s="5">
        <v>2.4664333333333333</v>
      </c>
      <c r="M32" s="30">
        <v>2.4599333333333333</v>
      </c>
      <c r="N32" s="5"/>
    </row>
    <row r="33" spans="10:16" x14ac:dyDescent="0.45">
      <c r="J33" s="15" t="s">
        <v>18</v>
      </c>
      <c r="K33" s="6">
        <v>2.3347458333333333</v>
      </c>
      <c r="L33" s="6">
        <v>2.2230250000000003</v>
      </c>
      <c r="M33" s="31">
        <v>2.2259333333333333</v>
      </c>
      <c r="N33" s="5"/>
    </row>
    <row r="34" spans="10:16" x14ac:dyDescent="0.45">
      <c r="J34" s="8" t="s">
        <v>9</v>
      </c>
      <c r="K34" s="1" t="s">
        <v>0</v>
      </c>
      <c r="L34" s="1" t="s">
        <v>1</v>
      </c>
      <c r="M34" s="1" t="s">
        <v>2</v>
      </c>
      <c r="N34" s="5"/>
    </row>
    <row r="35" spans="10:16" x14ac:dyDescent="0.45">
      <c r="J35" s="27" t="s">
        <v>7</v>
      </c>
      <c r="K35" s="28">
        <v>3.5581562500000001</v>
      </c>
      <c r="L35" s="28">
        <v>4.3534625</v>
      </c>
      <c r="M35" s="29">
        <v>3.5784687500000003</v>
      </c>
      <c r="N35" s="5"/>
      <c r="O35" s="32">
        <f>(K35-L35)/L35</f>
        <v>-0.18268361103374611</v>
      </c>
      <c r="P35" s="32">
        <f>(K35-M35)/M35</f>
        <v>-5.6763105727834495E-3</v>
      </c>
    </row>
    <row r="36" spans="10:16" x14ac:dyDescent="0.45">
      <c r="J36" s="8" t="s">
        <v>6</v>
      </c>
      <c r="K36" s="5">
        <v>4.42835</v>
      </c>
      <c r="L36" s="5">
        <v>4.4079656250000001</v>
      </c>
      <c r="M36" s="30">
        <v>4.4005468749999999</v>
      </c>
      <c r="N36" s="5"/>
      <c r="O36" s="32">
        <f>(K36-L36)/L36</f>
        <v>4.6244405547059813E-3</v>
      </c>
      <c r="P36" s="32">
        <f>(K36-M36)/M36</f>
        <v>6.3181067694001447E-3</v>
      </c>
    </row>
    <row r="37" spans="10:16" x14ac:dyDescent="0.45">
      <c r="J37" s="15" t="s">
        <v>5</v>
      </c>
      <c r="K37" s="6">
        <v>3.4325437499999998</v>
      </c>
      <c r="L37" s="6">
        <v>3.2899812500000003</v>
      </c>
      <c r="M37" s="31">
        <v>3.5280374999999999</v>
      </c>
      <c r="N37" s="5"/>
      <c r="O37" s="32">
        <f>(K37-L37)/L37</f>
        <v>4.3332313823976801E-2</v>
      </c>
      <c r="P37" s="32">
        <f>(K37-M37)/M37</f>
        <v>-2.7067101752745019E-2</v>
      </c>
    </row>
    <row r="38" spans="10:16" x14ac:dyDescent="0.45">
      <c r="J38" s="27" t="s">
        <v>19</v>
      </c>
      <c r="K38" s="28">
        <v>4.42835</v>
      </c>
      <c r="L38" s="28">
        <v>4.4079656250000001</v>
      </c>
      <c r="M38" s="29">
        <v>4.4005468749999999</v>
      </c>
      <c r="N38" s="5"/>
    </row>
    <row r="39" spans="10:16" x14ac:dyDescent="0.45">
      <c r="J39" s="8" t="s">
        <v>17</v>
      </c>
      <c r="K39" s="5">
        <v>3.8063499999999997</v>
      </c>
      <c r="L39" s="5">
        <v>4.0171364583333338</v>
      </c>
      <c r="M39" s="30">
        <v>3.835684375</v>
      </c>
      <c r="N39" s="5"/>
    </row>
    <row r="40" spans="10:16" x14ac:dyDescent="0.45">
      <c r="J40" s="15" t="s">
        <v>18</v>
      </c>
      <c r="K40" s="6">
        <v>3.4325437499999998</v>
      </c>
      <c r="L40" s="6">
        <v>3.2899812500000003</v>
      </c>
      <c r="M40" s="31">
        <v>3.5280374999999999</v>
      </c>
      <c r="N40" s="5"/>
    </row>
  </sheetData>
  <mergeCells count="4">
    <mergeCell ref="F1:H1"/>
    <mergeCell ref="C1:E1"/>
    <mergeCell ref="K1:N1"/>
    <mergeCell ref="S20:U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2B24-C476-4E19-83A2-C05BB8849B7A}">
  <dimension ref="A1:DH82"/>
  <sheetViews>
    <sheetView workbookViewId="0">
      <selection activeCell="I5" sqref="I5"/>
    </sheetView>
  </sheetViews>
  <sheetFormatPr defaultRowHeight="14.25" x14ac:dyDescent="0.45"/>
  <cols>
    <col min="7" max="7" width="13.265625" bestFit="1" customWidth="1"/>
    <col min="8" max="8" width="12.59765625" bestFit="1" customWidth="1"/>
    <col min="9" max="9" width="12.46484375" bestFit="1" customWidth="1"/>
    <col min="10" max="10" width="12.86328125" bestFit="1" customWidth="1"/>
  </cols>
  <sheetData>
    <row r="1" spans="1:112" x14ac:dyDescent="0.4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  <c r="BO1" t="s">
        <v>86</v>
      </c>
      <c r="BP1" t="s">
        <v>87</v>
      </c>
      <c r="BQ1" t="s">
        <v>88</v>
      </c>
      <c r="BR1" t="s">
        <v>89</v>
      </c>
      <c r="BS1" t="s">
        <v>90</v>
      </c>
      <c r="BT1" t="s">
        <v>91</v>
      </c>
      <c r="BU1" t="s">
        <v>92</v>
      </c>
      <c r="BV1" t="s">
        <v>93</v>
      </c>
      <c r="BW1" t="s">
        <v>94</v>
      </c>
      <c r="BX1" t="s">
        <v>95</v>
      </c>
      <c r="BY1" t="s">
        <v>96</v>
      </c>
      <c r="BZ1" t="s">
        <v>97</v>
      </c>
      <c r="CA1" t="s">
        <v>98</v>
      </c>
      <c r="CB1" t="s">
        <v>99</v>
      </c>
      <c r="CC1" t="s">
        <v>100</v>
      </c>
      <c r="CD1" t="s">
        <v>101</v>
      </c>
      <c r="CE1" t="s">
        <v>102</v>
      </c>
      <c r="CF1" t="s">
        <v>103</v>
      </c>
      <c r="CG1" t="s">
        <v>104</v>
      </c>
      <c r="CH1" t="s">
        <v>105</v>
      </c>
      <c r="CI1" t="s">
        <v>106</v>
      </c>
      <c r="CJ1" t="s">
        <v>107</v>
      </c>
      <c r="CK1" t="s">
        <v>108</v>
      </c>
      <c r="CL1" t="s">
        <v>109</v>
      </c>
      <c r="CM1" t="s">
        <v>110</v>
      </c>
      <c r="CN1" t="s">
        <v>111</v>
      </c>
      <c r="CO1" t="s">
        <v>112</v>
      </c>
      <c r="CP1" t="s">
        <v>113</v>
      </c>
      <c r="CQ1" t="s">
        <v>114</v>
      </c>
      <c r="CR1" t="s">
        <v>115</v>
      </c>
      <c r="CS1" t="s">
        <v>116</v>
      </c>
      <c r="CT1" t="s">
        <v>117</v>
      </c>
      <c r="CU1" t="s">
        <v>118</v>
      </c>
      <c r="CV1" t="s">
        <v>119</v>
      </c>
      <c r="CW1" t="s">
        <v>120</v>
      </c>
      <c r="CX1" t="s">
        <v>121</v>
      </c>
      <c r="CY1" t="s">
        <v>122</v>
      </c>
      <c r="CZ1" t="s">
        <v>123</v>
      </c>
      <c r="DA1" t="s">
        <v>124</v>
      </c>
      <c r="DB1" t="s">
        <v>125</v>
      </c>
      <c r="DC1" t="s">
        <v>126</v>
      </c>
      <c r="DD1" t="s">
        <v>127</v>
      </c>
      <c r="DE1" t="s">
        <v>128</v>
      </c>
      <c r="DF1" t="s">
        <v>129</v>
      </c>
      <c r="DG1" t="s">
        <v>130</v>
      </c>
      <c r="DH1" t="s">
        <v>131</v>
      </c>
    </row>
    <row r="2" spans="1:112" x14ac:dyDescent="0.45">
      <c r="A2" t="s">
        <v>4</v>
      </c>
      <c r="B2" t="s">
        <v>132</v>
      </c>
      <c r="C2" t="s">
        <v>5</v>
      </c>
      <c r="D2">
        <v>96</v>
      </c>
      <c r="E2" t="s">
        <v>133</v>
      </c>
      <c r="F2" t="s">
        <v>0</v>
      </c>
      <c r="G2" t="s">
        <v>135</v>
      </c>
      <c r="H2">
        <v>1810</v>
      </c>
      <c r="I2">
        <v>64.456016574585604</v>
      </c>
      <c r="J2">
        <v>20</v>
      </c>
      <c r="K2">
        <v>88.84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</v>
      </c>
      <c r="AG2">
        <v>0</v>
      </c>
      <c r="AH2">
        <v>80</v>
      </c>
      <c r="AI2">
        <v>0</v>
      </c>
      <c r="AJ2">
        <v>0</v>
      </c>
      <c r="AK2">
        <v>0</v>
      </c>
      <c r="AL2">
        <v>27</v>
      </c>
      <c r="AM2">
        <v>0</v>
      </c>
      <c r="AN2">
        <v>41</v>
      </c>
      <c r="AO2">
        <v>40</v>
      </c>
      <c r="AP2">
        <v>2</v>
      </c>
      <c r="AQ2">
        <v>12</v>
      </c>
      <c r="AR2">
        <v>0</v>
      </c>
      <c r="AS2">
        <v>0</v>
      </c>
      <c r="AT2">
        <v>0</v>
      </c>
      <c r="AU2">
        <v>0</v>
      </c>
      <c r="AV2">
        <v>1</v>
      </c>
      <c r="AW2">
        <v>4</v>
      </c>
      <c r="AX2">
        <v>18</v>
      </c>
      <c r="AY2">
        <v>0</v>
      </c>
      <c r="AZ2">
        <v>126</v>
      </c>
      <c r="BA2">
        <v>9</v>
      </c>
      <c r="BB2">
        <v>48</v>
      </c>
      <c r="BC2">
        <v>16</v>
      </c>
      <c r="BD2">
        <v>0</v>
      </c>
      <c r="BE2">
        <v>17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11</v>
      </c>
      <c r="BN2">
        <v>0</v>
      </c>
      <c r="BO2">
        <v>34</v>
      </c>
      <c r="BP2">
        <v>31</v>
      </c>
      <c r="BQ2">
        <v>6</v>
      </c>
      <c r="BR2">
        <v>0</v>
      </c>
      <c r="BS2">
        <v>0</v>
      </c>
      <c r="BT2">
        <v>22</v>
      </c>
      <c r="BU2">
        <v>70</v>
      </c>
      <c r="BV2">
        <v>66</v>
      </c>
      <c r="BW2">
        <v>21</v>
      </c>
      <c r="BX2">
        <v>29</v>
      </c>
      <c r="BY2">
        <v>30</v>
      </c>
      <c r="BZ2">
        <v>7</v>
      </c>
      <c r="CA2">
        <v>0</v>
      </c>
      <c r="CB2">
        <v>13</v>
      </c>
      <c r="CC2">
        <v>43</v>
      </c>
      <c r="CD2">
        <v>11</v>
      </c>
      <c r="CE2">
        <v>66</v>
      </c>
      <c r="CF2">
        <v>72</v>
      </c>
      <c r="CG2">
        <v>65</v>
      </c>
      <c r="CH2">
        <v>47</v>
      </c>
      <c r="CI2">
        <v>0</v>
      </c>
      <c r="CJ2">
        <v>110</v>
      </c>
      <c r="CK2">
        <v>0</v>
      </c>
      <c r="CL2">
        <v>24</v>
      </c>
      <c r="CM2">
        <v>78</v>
      </c>
      <c r="CN2">
        <v>85</v>
      </c>
      <c r="CO2">
        <v>60</v>
      </c>
      <c r="CP2">
        <v>96</v>
      </c>
      <c r="CQ2">
        <v>21</v>
      </c>
      <c r="CR2">
        <v>60</v>
      </c>
      <c r="CS2">
        <v>12</v>
      </c>
      <c r="CT2">
        <v>69</v>
      </c>
      <c r="CU2">
        <v>0</v>
      </c>
      <c r="CV2">
        <v>89</v>
      </c>
      <c r="CW2">
        <v>18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2" x14ac:dyDescent="0.45">
      <c r="A3" t="s">
        <v>4</v>
      </c>
      <c r="B3" t="s">
        <v>132</v>
      </c>
      <c r="C3" t="s">
        <v>5</v>
      </c>
      <c r="D3">
        <v>96</v>
      </c>
      <c r="E3" t="s">
        <v>133</v>
      </c>
      <c r="F3" t="s">
        <v>0</v>
      </c>
      <c r="G3" t="s">
        <v>143</v>
      </c>
      <c r="H3">
        <v>723</v>
      </c>
      <c r="I3">
        <v>41.2218118948824</v>
      </c>
      <c r="J3">
        <v>0</v>
      </c>
      <c r="K3">
        <v>88</v>
      </c>
      <c r="L3">
        <v>338</v>
      </c>
      <c r="M3">
        <v>0</v>
      </c>
      <c r="N3">
        <v>0</v>
      </c>
      <c r="O3">
        <v>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12</v>
      </c>
      <c r="AJ3">
        <v>0</v>
      </c>
      <c r="AK3">
        <v>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130</v>
      </c>
      <c r="CL3">
        <v>0</v>
      </c>
      <c r="CM3">
        <v>0</v>
      </c>
      <c r="CN3">
        <v>0</v>
      </c>
      <c r="CO3">
        <v>0</v>
      </c>
      <c r="CP3">
        <v>131</v>
      </c>
      <c r="CQ3">
        <v>0</v>
      </c>
      <c r="CR3">
        <v>0</v>
      </c>
      <c r="CS3">
        <v>0</v>
      </c>
      <c r="CT3">
        <v>0</v>
      </c>
      <c r="CU3">
        <v>4</v>
      </c>
      <c r="CV3">
        <v>92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2" x14ac:dyDescent="0.45">
      <c r="A4" t="s">
        <v>4</v>
      </c>
      <c r="B4" t="s">
        <v>132</v>
      </c>
      <c r="C4" t="s">
        <v>5</v>
      </c>
      <c r="D4">
        <v>96</v>
      </c>
      <c r="E4" t="s">
        <v>133</v>
      </c>
      <c r="F4" t="s">
        <v>0</v>
      </c>
      <c r="G4" t="s">
        <v>134</v>
      </c>
      <c r="H4">
        <v>2533</v>
      </c>
      <c r="I4">
        <v>57.824224240031498</v>
      </c>
      <c r="J4">
        <v>0</v>
      </c>
      <c r="K4">
        <v>88.84</v>
      </c>
      <c r="L4">
        <v>338</v>
      </c>
      <c r="M4">
        <v>0</v>
      </c>
      <c r="N4">
        <v>0</v>
      </c>
      <c r="O4">
        <v>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</v>
      </c>
      <c r="AG4">
        <v>0</v>
      </c>
      <c r="AH4">
        <v>80</v>
      </c>
      <c r="AI4">
        <v>12</v>
      </c>
      <c r="AJ4">
        <v>0</v>
      </c>
      <c r="AK4">
        <v>6</v>
      </c>
      <c r="AL4">
        <v>27</v>
      </c>
      <c r="AM4">
        <v>0</v>
      </c>
      <c r="AN4">
        <v>41</v>
      </c>
      <c r="AO4">
        <v>40</v>
      </c>
      <c r="AP4">
        <v>2</v>
      </c>
      <c r="AQ4">
        <v>12</v>
      </c>
      <c r="AR4">
        <v>0</v>
      </c>
      <c r="AS4">
        <v>0</v>
      </c>
      <c r="AT4">
        <v>0</v>
      </c>
      <c r="AU4">
        <v>0</v>
      </c>
      <c r="AV4">
        <v>1</v>
      </c>
      <c r="AW4">
        <v>4</v>
      </c>
      <c r="AX4">
        <v>18</v>
      </c>
      <c r="AY4">
        <v>0</v>
      </c>
      <c r="AZ4">
        <v>126</v>
      </c>
      <c r="BA4">
        <v>12</v>
      </c>
      <c r="BB4">
        <v>48</v>
      </c>
      <c r="BC4">
        <v>16</v>
      </c>
      <c r="BD4">
        <v>0</v>
      </c>
      <c r="BE4">
        <v>17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11</v>
      </c>
      <c r="BN4">
        <v>0</v>
      </c>
      <c r="BO4">
        <v>34</v>
      </c>
      <c r="BP4">
        <v>31</v>
      </c>
      <c r="BQ4">
        <v>6</v>
      </c>
      <c r="BR4">
        <v>0</v>
      </c>
      <c r="BS4">
        <v>0</v>
      </c>
      <c r="BT4">
        <v>22</v>
      </c>
      <c r="BU4">
        <v>70</v>
      </c>
      <c r="BV4">
        <v>66</v>
      </c>
      <c r="BW4">
        <v>21</v>
      </c>
      <c r="BX4">
        <v>29</v>
      </c>
      <c r="BY4">
        <v>30</v>
      </c>
      <c r="BZ4">
        <v>7</v>
      </c>
      <c r="CA4">
        <v>0</v>
      </c>
      <c r="CB4">
        <v>13</v>
      </c>
      <c r="CC4">
        <v>43</v>
      </c>
      <c r="CD4">
        <v>11</v>
      </c>
      <c r="CE4">
        <v>66</v>
      </c>
      <c r="CF4">
        <v>72</v>
      </c>
      <c r="CG4">
        <v>65</v>
      </c>
      <c r="CH4">
        <v>47</v>
      </c>
      <c r="CI4">
        <v>0</v>
      </c>
      <c r="CJ4">
        <v>110</v>
      </c>
      <c r="CK4">
        <v>130</v>
      </c>
      <c r="CL4">
        <v>24</v>
      </c>
      <c r="CM4">
        <v>78</v>
      </c>
      <c r="CN4">
        <v>85</v>
      </c>
      <c r="CO4">
        <v>60</v>
      </c>
      <c r="CP4">
        <v>227</v>
      </c>
      <c r="CQ4">
        <v>21</v>
      </c>
      <c r="CR4">
        <v>60</v>
      </c>
      <c r="CS4">
        <v>12</v>
      </c>
      <c r="CT4">
        <v>69</v>
      </c>
      <c r="CU4">
        <v>4</v>
      </c>
      <c r="CV4">
        <v>181</v>
      </c>
      <c r="CW4">
        <v>18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2" x14ac:dyDescent="0.45">
      <c r="A5" t="s">
        <v>4</v>
      </c>
      <c r="B5" t="s">
        <v>132</v>
      </c>
      <c r="C5" t="s">
        <v>5</v>
      </c>
      <c r="D5">
        <v>96</v>
      </c>
      <c r="E5" t="s">
        <v>136</v>
      </c>
      <c r="F5" t="s">
        <v>1</v>
      </c>
      <c r="G5" t="s">
        <v>135</v>
      </c>
      <c r="H5">
        <v>444</v>
      </c>
      <c r="I5">
        <v>45.349414414414397</v>
      </c>
      <c r="J5">
        <v>29.46</v>
      </c>
      <c r="K5">
        <v>47.75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19</v>
      </c>
      <c r="AP5">
        <v>0</v>
      </c>
      <c r="AQ5">
        <v>0</v>
      </c>
      <c r="AR5">
        <v>0</v>
      </c>
      <c r="AS5">
        <v>6</v>
      </c>
      <c r="AT5">
        <v>12</v>
      </c>
      <c r="AU5">
        <v>0</v>
      </c>
      <c r="AV5">
        <v>3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>
        <v>29</v>
      </c>
      <c r="BD5">
        <v>0</v>
      </c>
      <c r="BE5">
        <v>16</v>
      </c>
      <c r="BF5">
        <v>61</v>
      </c>
      <c r="BG5">
        <v>126</v>
      </c>
      <c r="BH5">
        <v>168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2" x14ac:dyDescent="0.45">
      <c r="A6" t="s">
        <v>4</v>
      </c>
      <c r="B6" t="s">
        <v>132</v>
      </c>
      <c r="C6" t="s">
        <v>5</v>
      </c>
      <c r="D6">
        <v>96</v>
      </c>
      <c r="E6" t="s">
        <v>136</v>
      </c>
      <c r="F6" t="s">
        <v>1</v>
      </c>
      <c r="G6" t="s">
        <v>143</v>
      </c>
      <c r="H6">
        <v>2089</v>
      </c>
      <c r="I6">
        <v>46.396093824796502</v>
      </c>
      <c r="J6">
        <v>29.51</v>
      </c>
      <c r="K6">
        <v>48.44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36</v>
      </c>
      <c r="AQ6">
        <v>0</v>
      </c>
      <c r="AR6">
        <v>0</v>
      </c>
      <c r="AS6">
        <v>14</v>
      </c>
      <c r="AT6">
        <v>0</v>
      </c>
      <c r="AU6">
        <v>17</v>
      </c>
      <c r="AV6">
        <v>8</v>
      </c>
      <c r="AW6">
        <v>0</v>
      </c>
      <c r="AX6">
        <v>0</v>
      </c>
      <c r="AY6">
        <v>0</v>
      </c>
      <c r="AZ6">
        <v>0</v>
      </c>
      <c r="BA6">
        <v>0</v>
      </c>
      <c r="BB6">
        <v>12</v>
      </c>
      <c r="BC6">
        <v>13</v>
      </c>
      <c r="BD6">
        <v>88</v>
      </c>
      <c r="BE6">
        <v>17</v>
      </c>
      <c r="BF6">
        <v>454</v>
      </c>
      <c r="BG6">
        <v>615</v>
      </c>
      <c r="BH6">
        <v>815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2" x14ac:dyDescent="0.45">
      <c r="A7" t="s">
        <v>4</v>
      </c>
      <c r="B7" t="s">
        <v>132</v>
      </c>
      <c r="C7" t="s">
        <v>5</v>
      </c>
      <c r="D7">
        <v>96</v>
      </c>
      <c r="E7" t="s">
        <v>136</v>
      </c>
      <c r="F7" t="s">
        <v>1</v>
      </c>
      <c r="G7" t="s">
        <v>134</v>
      </c>
      <c r="H7">
        <v>2533</v>
      </c>
      <c r="I7">
        <v>46.212625345440102</v>
      </c>
      <c r="J7">
        <v>29.46</v>
      </c>
      <c r="K7">
        <v>48.44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19</v>
      </c>
      <c r="AP7">
        <v>36</v>
      </c>
      <c r="AQ7">
        <v>0</v>
      </c>
      <c r="AR7">
        <v>0</v>
      </c>
      <c r="AS7">
        <v>20</v>
      </c>
      <c r="AT7">
        <v>12</v>
      </c>
      <c r="AU7">
        <v>17</v>
      </c>
      <c r="AV7">
        <v>11</v>
      </c>
      <c r="AW7">
        <v>0</v>
      </c>
      <c r="AX7">
        <v>0</v>
      </c>
      <c r="AY7">
        <v>0</v>
      </c>
      <c r="AZ7">
        <v>0</v>
      </c>
      <c r="BA7">
        <v>0</v>
      </c>
      <c r="BB7">
        <v>16</v>
      </c>
      <c r="BC7">
        <v>42</v>
      </c>
      <c r="BD7">
        <v>88</v>
      </c>
      <c r="BE7">
        <v>33</v>
      </c>
      <c r="BF7">
        <v>515</v>
      </c>
      <c r="BG7">
        <v>741</v>
      </c>
      <c r="BH7">
        <v>983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2" x14ac:dyDescent="0.45">
      <c r="A8" t="s">
        <v>4</v>
      </c>
      <c r="B8" t="s">
        <v>132</v>
      </c>
      <c r="C8" t="s">
        <v>5</v>
      </c>
      <c r="D8">
        <v>96</v>
      </c>
      <c r="E8" t="s">
        <v>137</v>
      </c>
      <c r="F8" t="s">
        <v>2</v>
      </c>
      <c r="G8" t="s">
        <v>135</v>
      </c>
      <c r="H8">
        <v>208</v>
      </c>
      <c r="I8">
        <v>42.254903846153802</v>
      </c>
      <c r="J8">
        <v>23.53</v>
      </c>
      <c r="K8">
        <v>80.81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57</v>
      </c>
      <c r="AK8">
        <v>0</v>
      </c>
      <c r="AL8">
        <v>9</v>
      </c>
      <c r="AM8">
        <v>0</v>
      </c>
      <c r="AN8">
        <v>9</v>
      </c>
      <c r="AO8">
        <v>0</v>
      </c>
      <c r="AP8">
        <v>0</v>
      </c>
      <c r="AQ8">
        <v>3</v>
      </c>
      <c r="AR8">
        <v>0</v>
      </c>
      <c r="AS8">
        <v>3</v>
      </c>
      <c r="AT8">
        <v>10</v>
      </c>
      <c r="AU8">
        <v>17</v>
      </c>
      <c r="AV8">
        <v>24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1</v>
      </c>
      <c r="BV8">
        <v>28</v>
      </c>
      <c r="BW8">
        <v>3</v>
      </c>
      <c r="BX8">
        <v>0</v>
      </c>
      <c r="BY8">
        <v>0</v>
      </c>
      <c r="BZ8">
        <v>3</v>
      </c>
      <c r="CA8">
        <v>0</v>
      </c>
      <c r="CB8">
        <v>13</v>
      </c>
      <c r="CC8">
        <v>0</v>
      </c>
      <c r="CD8">
        <v>0</v>
      </c>
      <c r="CE8">
        <v>3</v>
      </c>
      <c r="CF8">
        <v>2</v>
      </c>
      <c r="CG8">
        <v>0</v>
      </c>
      <c r="CH8">
        <v>0</v>
      </c>
      <c r="CI8">
        <v>0</v>
      </c>
      <c r="CJ8">
        <v>1</v>
      </c>
      <c r="CK8">
        <v>1</v>
      </c>
      <c r="CL8">
        <v>0</v>
      </c>
      <c r="CM8">
        <v>0</v>
      </c>
      <c r="CN8">
        <v>6</v>
      </c>
      <c r="CO8">
        <v>6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2" x14ac:dyDescent="0.45">
      <c r="A9" t="s">
        <v>4</v>
      </c>
      <c r="B9" t="s">
        <v>132</v>
      </c>
      <c r="C9" t="s">
        <v>5</v>
      </c>
      <c r="D9">
        <v>96</v>
      </c>
      <c r="E9" t="s">
        <v>137</v>
      </c>
      <c r="F9" t="s">
        <v>2</v>
      </c>
      <c r="G9" t="s">
        <v>143</v>
      </c>
      <c r="H9">
        <v>2325</v>
      </c>
      <c r="I9">
        <v>10.8139096774193</v>
      </c>
      <c r="J9">
        <v>0</v>
      </c>
      <c r="K9">
        <v>85.23</v>
      </c>
      <c r="L9">
        <v>1557</v>
      </c>
      <c r="M9">
        <v>8</v>
      </c>
      <c r="N9">
        <v>0</v>
      </c>
      <c r="O9">
        <v>0</v>
      </c>
      <c r="P9">
        <v>0</v>
      </c>
      <c r="Q9">
        <v>0</v>
      </c>
      <c r="R9">
        <v>29</v>
      </c>
      <c r="S9">
        <v>0</v>
      </c>
      <c r="T9">
        <v>0</v>
      </c>
      <c r="U9">
        <v>0</v>
      </c>
      <c r="V9">
        <v>6</v>
      </c>
      <c r="W9">
        <v>0</v>
      </c>
      <c r="X9">
        <v>0</v>
      </c>
      <c r="Y9">
        <v>0</v>
      </c>
      <c r="Z9">
        <v>0</v>
      </c>
      <c r="AA9">
        <v>4</v>
      </c>
      <c r="AB9">
        <v>0</v>
      </c>
      <c r="AC9">
        <v>0</v>
      </c>
      <c r="AD9">
        <v>0</v>
      </c>
      <c r="AE9">
        <v>0</v>
      </c>
      <c r="AF9">
        <v>33</v>
      </c>
      <c r="AG9">
        <v>0</v>
      </c>
      <c r="AH9">
        <v>0</v>
      </c>
      <c r="AI9">
        <v>7</v>
      </c>
      <c r="AJ9">
        <v>346</v>
      </c>
      <c r="AK9">
        <v>0</v>
      </c>
      <c r="AL9">
        <v>24</v>
      </c>
      <c r="AM9">
        <v>31</v>
      </c>
      <c r="AN9">
        <v>42</v>
      </c>
      <c r="AO9">
        <v>14</v>
      </c>
      <c r="AP9">
        <v>0</v>
      </c>
      <c r="AQ9">
        <v>9</v>
      </c>
      <c r="AR9">
        <v>0</v>
      </c>
      <c r="AS9">
        <v>2</v>
      </c>
      <c r="AT9">
        <v>0</v>
      </c>
      <c r="AU9">
        <v>0</v>
      </c>
      <c r="AV9">
        <v>0</v>
      </c>
      <c r="AW9">
        <v>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49</v>
      </c>
      <c r="BE9">
        <v>3</v>
      </c>
      <c r="BF9">
        <v>3</v>
      </c>
      <c r="BG9">
        <v>0</v>
      </c>
      <c r="BH9">
        <v>1</v>
      </c>
      <c r="BI9">
        <v>0</v>
      </c>
      <c r="BJ9">
        <v>30</v>
      </c>
      <c r="BK9">
        <v>1</v>
      </c>
      <c r="BL9">
        <v>0</v>
      </c>
      <c r="BM9">
        <v>2</v>
      </c>
      <c r="BN9">
        <v>0</v>
      </c>
      <c r="BO9">
        <v>0</v>
      </c>
      <c r="BP9">
        <v>7</v>
      </c>
      <c r="BQ9">
        <v>0</v>
      </c>
      <c r="BR9">
        <v>0</v>
      </c>
      <c r="BS9">
        <v>0</v>
      </c>
      <c r="BT9">
        <v>0</v>
      </c>
      <c r="BU9">
        <v>14</v>
      </c>
      <c r="BV9">
        <v>38</v>
      </c>
      <c r="BW9">
        <v>2</v>
      </c>
      <c r="BX9">
        <v>2</v>
      </c>
      <c r="BY9">
        <v>0</v>
      </c>
      <c r="BZ9">
        <v>6</v>
      </c>
      <c r="CA9">
        <v>0</v>
      </c>
      <c r="CB9">
        <v>0</v>
      </c>
      <c r="CC9">
        <v>0</v>
      </c>
      <c r="CD9">
        <v>0</v>
      </c>
      <c r="CE9">
        <v>2</v>
      </c>
      <c r="CF9">
        <v>2</v>
      </c>
      <c r="CG9">
        <v>0</v>
      </c>
      <c r="CH9">
        <v>13</v>
      </c>
      <c r="CI9">
        <v>3</v>
      </c>
      <c r="CJ9">
        <v>6</v>
      </c>
      <c r="CK9">
        <v>0</v>
      </c>
      <c r="CL9">
        <v>0</v>
      </c>
      <c r="CM9">
        <v>0</v>
      </c>
      <c r="CN9">
        <v>14</v>
      </c>
      <c r="CO9">
        <v>4</v>
      </c>
      <c r="CP9">
        <v>0</v>
      </c>
      <c r="CQ9">
        <v>0</v>
      </c>
      <c r="CR9">
        <v>0</v>
      </c>
      <c r="CS9">
        <v>4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2" x14ac:dyDescent="0.45">
      <c r="A10" t="s">
        <v>4</v>
      </c>
      <c r="B10" t="s">
        <v>132</v>
      </c>
      <c r="C10" t="s">
        <v>5</v>
      </c>
      <c r="D10">
        <v>96</v>
      </c>
      <c r="E10" t="s">
        <v>137</v>
      </c>
      <c r="F10" t="s">
        <v>2</v>
      </c>
      <c r="G10" t="s">
        <v>134</v>
      </c>
      <c r="H10">
        <v>2533</v>
      </c>
      <c r="I10">
        <v>13.395720489538</v>
      </c>
      <c r="J10">
        <v>0</v>
      </c>
      <c r="K10">
        <v>85.23</v>
      </c>
      <c r="L10">
        <v>1557</v>
      </c>
      <c r="M10">
        <v>8</v>
      </c>
      <c r="N10">
        <v>0</v>
      </c>
      <c r="O10">
        <v>0</v>
      </c>
      <c r="P10">
        <v>0</v>
      </c>
      <c r="Q10">
        <v>0</v>
      </c>
      <c r="R10">
        <v>29</v>
      </c>
      <c r="S10">
        <v>0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33</v>
      </c>
      <c r="AG10">
        <v>0</v>
      </c>
      <c r="AH10">
        <v>0</v>
      </c>
      <c r="AI10">
        <v>7</v>
      </c>
      <c r="AJ10">
        <v>403</v>
      </c>
      <c r="AK10">
        <v>0</v>
      </c>
      <c r="AL10">
        <v>33</v>
      </c>
      <c r="AM10">
        <v>31</v>
      </c>
      <c r="AN10">
        <v>51</v>
      </c>
      <c r="AO10">
        <v>14</v>
      </c>
      <c r="AP10">
        <v>0</v>
      </c>
      <c r="AQ10">
        <v>12</v>
      </c>
      <c r="AR10">
        <v>0</v>
      </c>
      <c r="AS10">
        <v>5</v>
      </c>
      <c r="AT10">
        <v>10</v>
      </c>
      <c r="AU10">
        <v>17</v>
      </c>
      <c r="AV10">
        <v>24</v>
      </c>
      <c r="AW10">
        <v>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49</v>
      </c>
      <c r="BE10">
        <v>6</v>
      </c>
      <c r="BF10">
        <v>3</v>
      </c>
      <c r="BG10">
        <v>0</v>
      </c>
      <c r="BH10">
        <v>1</v>
      </c>
      <c r="BI10">
        <v>0</v>
      </c>
      <c r="BJ10">
        <v>30</v>
      </c>
      <c r="BK10">
        <v>3</v>
      </c>
      <c r="BL10">
        <v>0</v>
      </c>
      <c r="BM10">
        <v>2</v>
      </c>
      <c r="BN10">
        <v>0</v>
      </c>
      <c r="BO10">
        <v>0</v>
      </c>
      <c r="BP10">
        <v>9</v>
      </c>
      <c r="BQ10">
        <v>0</v>
      </c>
      <c r="BR10">
        <v>0</v>
      </c>
      <c r="BS10">
        <v>0</v>
      </c>
      <c r="BT10">
        <v>0</v>
      </c>
      <c r="BU10">
        <v>15</v>
      </c>
      <c r="BV10">
        <v>66</v>
      </c>
      <c r="BW10">
        <v>5</v>
      </c>
      <c r="BX10">
        <v>2</v>
      </c>
      <c r="BY10">
        <v>0</v>
      </c>
      <c r="BZ10">
        <v>9</v>
      </c>
      <c r="CA10">
        <v>0</v>
      </c>
      <c r="CB10">
        <v>13</v>
      </c>
      <c r="CC10">
        <v>0</v>
      </c>
      <c r="CD10">
        <v>0</v>
      </c>
      <c r="CE10">
        <v>5</v>
      </c>
      <c r="CF10">
        <v>4</v>
      </c>
      <c r="CG10">
        <v>0</v>
      </c>
      <c r="CH10">
        <v>13</v>
      </c>
      <c r="CI10">
        <v>3</v>
      </c>
      <c r="CJ10">
        <v>7</v>
      </c>
      <c r="CK10">
        <v>1</v>
      </c>
      <c r="CL10">
        <v>0</v>
      </c>
      <c r="CM10">
        <v>0</v>
      </c>
      <c r="CN10">
        <v>20</v>
      </c>
      <c r="CO10">
        <v>10</v>
      </c>
      <c r="CP10">
        <v>0</v>
      </c>
      <c r="CQ10">
        <v>0</v>
      </c>
      <c r="CR10">
        <v>0</v>
      </c>
      <c r="CS10">
        <v>4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2" x14ac:dyDescent="0.45">
      <c r="A11" t="s">
        <v>4</v>
      </c>
      <c r="B11" t="s">
        <v>132</v>
      </c>
      <c r="C11" t="s">
        <v>6</v>
      </c>
      <c r="D11">
        <v>128</v>
      </c>
      <c r="E11" t="s">
        <v>133</v>
      </c>
      <c r="F11" t="s">
        <v>0</v>
      </c>
      <c r="G11" t="s">
        <v>135</v>
      </c>
      <c r="H11">
        <v>1871</v>
      </c>
      <c r="I11">
        <v>63.441149118118602</v>
      </c>
      <c r="J11">
        <v>19.86</v>
      </c>
      <c r="K11">
        <v>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</v>
      </c>
      <c r="AG11">
        <v>0</v>
      </c>
      <c r="AH11">
        <v>0</v>
      </c>
      <c r="AI11">
        <v>9</v>
      </c>
      <c r="AJ11">
        <v>40</v>
      </c>
      <c r="AK11">
        <v>2</v>
      </c>
      <c r="AL11">
        <v>3</v>
      </c>
      <c r="AM11">
        <v>6</v>
      </c>
      <c r="AN11">
        <v>86</v>
      </c>
      <c r="AO11">
        <v>6</v>
      </c>
      <c r="AP11">
        <v>0</v>
      </c>
      <c r="AQ11">
        <v>70</v>
      </c>
      <c r="AR11">
        <v>0</v>
      </c>
      <c r="AS11">
        <v>0</v>
      </c>
      <c r="AT11">
        <v>5</v>
      </c>
      <c r="AU11">
        <v>0</v>
      </c>
      <c r="AV11">
        <v>0</v>
      </c>
      <c r="AW11">
        <v>2</v>
      </c>
      <c r="AX11">
        <v>0</v>
      </c>
      <c r="AY11">
        <v>56</v>
      </c>
      <c r="AZ11">
        <v>0</v>
      </c>
      <c r="BA11">
        <v>81</v>
      </c>
      <c r="BB11">
        <v>0</v>
      </c>
      <c r="BC11">
        <v>17</v>
      </c>
      <c r="BD11">
        <v>19</v>
      </c>
      <c r="BE11">
        <v>0</v>
      </c>
      <c r="BF11">
        <v>0</v>
      </c>
      <c r="BG11">
        <v>55</v>
      </c>
      <c r="BH11">
        <v>12</v>
      </c>
      <c r="BI11">
        <v>0</v>
      </c>
      <c r="BJ11">
        <v>72</v>
      </c>
      <c r="BK11">
        <v>6</v>
      </c>
      <c r="BL11">
        <v>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49</v>
      </c>
      <c r="BU11">
        <v>23</v>
      </c>
      <c r="BV11">
        <v>117</v>
      </c>
      <c r="BW11">
        <v>24</v>
      </c>
      <c r="BX11">
        <v>83</v>
      </c>
      <c r="BY11">
        <v>6</v>
      </c>
      <c r="BZ11">
        <v>0</v>
      </c>
      <c r="CA11">
        <v>0</v>
      </c>
      <c r="CB11">
        <v>0</v>
      </c>
      <c r="CC11">
        <v>5</v>
      </c>
      <c r="CD11">
        <v>0</v>
      </c>
      <c r="CE11">
        <v>17</v>
      </c>
      <c r="CF11">
        <v>125</v>
      </c>
      <c r="CG11">
        <v>122</v>
      </c>
      <c r="CH11">
        <v>89</v>
      </c>
      <c r="CI11">
        <v>26</v>
      </c>
      <c r="CJ11">
        <v>46</v>
      </c>
      <c r="CK11">
        <v>4</v>
      </c>
      <c r="CL11">
        <v>71</v>
      </c>
      <c r="CM11">
        <v>37</v>
      </c>
      <c r="CN11">
        <v>84</v>
      </c>
      <c r="CO11">
        <v>55</v>
      </c>
      <c r="CP11">
        <v>108</v>
      </c>
      <c r="CQ11">
        <v>2</v>
      </c>
      <c r="CR11">
        <v>5</v>
      </c>
      <c r="CS11">
        <v>148</v>
      </c>
      <c r="CT11">
        <v>21</v>
      </c>
      <c r="CU11">
        <v>0</v>
      </c>
      <c r="CV11">
        <v>38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2" x14ac:dyDescent="0.45">
      <c r="A12" t="s">
        <v>4</v>
      </c>
      <c r="B12" t="s">
        <v>132</v>
      </c>
      <c r="C12" t="s">
        <v>6</v>
      </c>
      <c r="D12">
        <v>128</v>
      </c>
      <c r="E12" t="s">
        <v>133</v>
      </c>
      <c r="F12" t="s">
        <v>0</v>
      </c>
      <c r="G12" t="s">
        <v>143</v>
      </c>
      <c r="H12">
        <v>457</v>
      </c>
      <c r="I12">
        <v>59.8814004376367</v>
      </c>
      <c r="J12">
        <v>0</v>
      </c>
      <c r="K12">
        <v>88</v>
      </c>
      <c r="L12">
        <v>125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6</v>
      </c>
      <c r="CK12">
        <v>65</v>
      </c>
      <c r="CL12">
        <v>0</v>
      </c>
      <c r="CM12">
        <v>0</v>
      </c>
      <c r="CN12">
        <v>0</v>
      </c>
      <c r="CO12">
        <v>0</v>
      </c>
      <c r="CP12">
        <v>93</v>
      </c>
      <c r="CQ12">
        <v>6</v>
      </c>
      <c r="CR12">
        <v>0</v>
      </c>
      <c r="CS12">
        <v>0</v>
      </c>
      <c r="CT12">
        <v>0</v>
      </c>
      <c r="CU12">
        <v>0</v>
      </c>
      <c r="CV12">
        <v>145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2" x14ac:dyDescent="0.45">
      <c r="A13" t="s">
        <v>4</v>
      </c>
      <c r="B13" t="s">
        <v>132</v>
      </c>
      <c r="C13" t="s">
        <v>6</v>
      </c>
      <c r="D13">
        <v>128</v>
      </c>
      <c r="E13" t="s">
        <v>133</v>
      </c>
      <c r="F13" t="s">
        <v>0</v>
      </c>
      <c r="G13" t="s">
        <v>134</v>
      </c>
      <c r="H13">
        <v>2328</v>
      </c>
      <c r="I13">
        <v>62.742349656357298</v>
      </c>
      <c r="J13">
        <v>0</v>
      </c>
      <c r="K13">
        <v>88</v>
      </c>
      <c r="L13">
        <v>125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</v>
      </c>
      <c r="AG13">
        <v>0</v>
      </c>
      <c r="AH13">
        <v>0</v>
      </c>
      <c r="AI13">
        <v>9</v>
      </c>
      <c r="AJ13">
        <v>40</v>
      </c>
      <c r="AK13">
        <v>2</v>
      </c>
      <c r="AL13">
        <v>3</v>
      </c>
      <c r="AM13">
        <v>6</v>
      </c>
      <c r="AN13">
        <v>86</v>
      </c>
      <c r="AO13">
        <v>6</v>
      </c>
      <c r="AP13">
        <v>0</v>
      </c>
      <c r="AQ13">
        <v>70</v>
      </c>
      <c r="AR13">
        <v>0</v>
      </c>
      <c r="AS13">
        <v>0</v>
      </c>
      <c r="AT13">
        <v>5</v>
      </c>
      <c r="AU13">
        <v>0</v>
      </c>
      <c r="AV13">
        <v>0</v>
      </c>
      <c r="AW13">
        <v>2</v>
      </c>
      <c r="AX13">
        <v>0</v>
      </c>
      <c r="AY13">
        <v>56</v>
      </c>
      <c r="AZ13">
        <v>0</v>
      </c>
      <c r="BA13">
        <v>81</v>
      </c>
      <c r="BB13">
        <v>0</v>
      </c>
      <c r="BC13">
        <v>17</v>
      </c>
      <c r="BD13">
        <v>19</v>
      </c>
      <c r="BE13">
        <v>0</v>
      </c>
      <c r="BF13">
        <v>0</v>
      </c>
      <c r="BG13">
        <v>55</v>
      </c>
      <c r="BH13">
        <v>12</v>
      </c>
      <c r="BI13">
        <v>0</v>
      </c>
      <c r="BJ13">
        <v>72</v>
      </c>
      <c r="BK13">
        <v>6</v>
      </c>
      <c r="BL13">
        <v>9</v>
      </c>
      <c r="BM13">
        <v>0</v>
      </c>
      <c r="BN13">
        <v>10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49</v>
      </c>
      <c r="BU13">
        <v>23</v>
      </c>
      <c r="BV13">
        <v>117</v>
      </c>
      <c r="BW13">
        <v>24</v>
      </c>
      <c r="BX13">
        <v>83</v>
      </c>
      <c r="BY13">
        <v>13</v>
      </c>
      <c r="BZ13">
        <v>0</v>
      </c>
      <c r="CA13">
        <v>0</v>
      </c>
      <c r="CB13">
        <v>0</v>
      </c>
      <c r="CC13">
        <v>5</v>
      </c>
      <c r="CD13">
        <v>0</v>
      </c>
      <c r="CE13">
        <v>17</v>
      </c>
      <c r="CF13">
        <v>125</v>
      </c>
      <c r="CG13">
        <v>122</v>
      </c>
      <c r="CH13">
        <v>89</v>
      </c>
      <c r="CI13">
        <v>26</v>
      </c>
      <c r="CJ13">
        <v>52</v>
      </c>
      <c r="CK13">
        <v>69</v>
      </c>
      <c r="CL13">
        <v>71</v>
      </c>
      <c r="CM13">
        <v>37</v>
      </c>
      <c r="CN13">
        <v>84</v>
      </c>
      <c r="CO13">
        <v>55</v>
      </c>
      <c r="CP13">
        <v>201</v>
      </c>
      <c r="CQ13">
        <v>8</v>
      </c>
      <c r="CR13">
        <v>5</v>
      </c>
      <c r="CS13">
        <v>148</v>
      </c>
      <c r="CT13">
        <v>21</v>
      </c>
      <c r="CU13">
        <v>0</v>
      </c>
      <c r="CV13">
        <v>183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2" x14ac:dyDescent="0.45">
      <c r="A14" t="s">
        <v>4</v>
      </c>
      <c r="B14" t="s">
        <v>132</v>
      </c>
      <c r="C14" t="s">
        <v>6</v>
      </c>
      <c r="D14">
        <v>128</v>
      </c>
      <c r="E14" t="s">
        <v>136</v>
      </c>
      <c r="F14" t="s">
        <v>1</v>
      </c>
      <c r="G14" t="s">
        <v>135</v>
      </c>
      <c r="H14">
        <v>539</v>
      </c>
      <c r="I14">
        <v>46.648775510203997</v>
      </c>
      <c r="J14">
        <v>41.61</v>
      </c>
      <c r="K14">
        <v>48.39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</v>
      </c>
      <c r="BC14">
        <v>29</v>
      </c>
      <c r="BD14">
        <v>19</v>
      </c>
      <c r="BE14">
        <v>33</v>
      </c>
      <c r="BF14">
        <v>103</v>
      </c>
      <c r="BG14">
        <v>154</v>
      </c>
      <c r="BH14">
        <v>197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2" x14ac:dyDescent="0.45">
      <c r="A15" t="s">
        <v>4</v>
      </c>
      <c r="B15" t="s">
        <v>132</v>
      </c>
      <c r="C15" t="s">
        <v>6</v>
      </c>
      <c r="D15">
        <v>128</v>
      </c>
      <c r="E15" t="s">
        <v>136</v>
      </c>
      <c r="F15" t="s">
        <v>1</v>
      </c>
      <c r="G15" t="s">
        <v>143</v>
      </c>
      <c r="H15">
        <v>1789</v>
      </c>
      <c r="I15">
        <v>46.3255449972051</v>
      </c>
      <c r="J15">
        <v>29.51</v>
      </c>
      <c r="K15">
        <v>48.44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36</v>
      </c>
      <c r="AQ15">
        <v>0</v>
      </c>
      <c r="AR15">
        <v>0</v>
      </c>
      <c r="AS15">
        <v>14</v>
      </c>
      <c r="AT15">
        <v>0</v>
      </c>
      <c r="AU15">
        <v>17</v>
      </c>
      <c r="AV15">
        <v>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12</v>
      </c>
      <c r="BC15">
        <v>13</v>
      </c>
      <c r="BD15">
        <v>69</v>
      </c>
      <c r="BE15">
        <v>0</v>
      </c>
      <c r="BF15">
        <v>412</v>
      </c>
      <c r="BG15">
        <v>463</v>
      </c>
      <c r="BH15">
        <v>745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2" x14ac:dyDescent="0.45">
      <c r="A16" t="s">
        <v>4</v>
      </c>
      <c r="B16" t="s">
        <v>132</v>
      </c>
      <c r="C16" t="s">
        <v>6</v>
      </c>
      <c r="D16">
        <v>128</v>
      </c>
      <c r="E16" t="s">
        <v>136</v>
      </c>
      <c r="F16" t="s">
        <v>1</v>
      </c>
      <c r="G16" t="s">
        <v>134</v>
      </c>
      <c r="H16">
        <v>2328</v>
      </c>
      <c r="I16">
        <v>46.400382302405497</v>
      </c>
      <c r="J16">
        <v>29.51</v>
      </c>
      <c r="K16">
        <v>48.44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36</v>
      </c>
      <c r="AQ16">
        <v>0</v>
      </c>
      <c r="AR16">
        <v>0</v>
      </c>
      <c r="AS16">
        <v>14</v>
      </c>
      <c r="AT16">
        <v>0</v>
      </c>
      <c r="AU16">
        <v>17</v>
      </c>
      <c r="AV16">
        <v>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16</v>
      </c>
      <c r="BC16">
        <v>42</v>
      </c>
      <c r="BD16">
        <v>88</v>
      </c>
      <c r="BE16">
        <v>33</v>
      </c>
      <c r="BF16">
        <v>515</v>
      </c>
      <c r="BG16">
        <v>617</v>
      </c>
      <c r="BH16">
        <v>942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 x14ac:dyDescent="0.45">
      <c r="A17" t="s">
        <v>4</v>
      </c>
      <c r="B17" t="s">
        <v>132</v>
      </c>
      <c r="C17" t="s">
        <v>6</v>
      </c>
      <c r="D17">
        <v>128</v>
      </c>
      <c r="E17" t="s">
        <v>137</v>
      </c>
      <c r="F17" t="s">
        <v>2</v>
      </c>
      <c r="G17" t="s">
        <v>135</v>
      </c>
      <c r="H17">
        <v>225</v>
      </c>
      <c r="I17">
        <v>45.593644444444401</v>
      </c>
      <c r="J17">
        <v>19.86</v>
      </c>
      <c r="K17">
        <v>85.23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9</v>
      </c>
      <c r="AG17">
        <v>0</v>
      </c>
      <c r="AH17">
        <v>0</v>
      </c>
      <c r="AI17">
        <v>3</v>
      </c>
      <c r="AJ17">
        <v>40</v>
      </c>
      <c r="AK17">
        <v>0</v>
      </c>
      <c r="AL17">
        <v>4</v>
      </c>
      <c r="AM17">
        <v>6</v>
      </c>
      <c r="AN17">
        <v>0</v>
      </c>
      <c r="AO17">
        <v>0</v>
      </c>
      <c r="AP17">
        <v>0</v>
      </c>
      <c r="AQ17">
        <v>0</v>
      </c>
      <c r="AR17">
        <v>5</v>
      </c>
      <c r="AS17">
        <v>0</v>
      </c>
      <c r="AT17">
        <v>10</v>
      </c>
      <c r="AU17">
        <v>0</v>
      </c>
      <c r="AV17">
        <v>46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</v>
      </c>
      <c r="BE17">
        <v>0</v>
      </c>
      <c r="BF17">
        <v>2</v>
      </c>
      <c r="BG17">
        <v>0</v>
      </c>
      <c r="BH17">
        <v>0</v>
      </c>
      <c r="BI17">
        <v>0</v>
      </c>
      <c r="BJ17">
        <v>12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2</v>
      </c>
      <c r="BQ17">
        <v>0</v>
      </c>
      <c r="BR17">
        <v>0</v>
      </c>
      <c r="BS17">
        <v>0</v>
      </c>
      <c r="BT17">
        <v>0</v>
      </c>
      <c r="BU17">
        <v>6</v>
      </c>
      <c r="BV17">
        <v>25</v>
      </c>
      <c r="BW17">
        <v>3</v>
      </c>
      <c r="BX17">
        <v>0</v>
      </c>
      <c r="BY17">
        <v>6</v>
      </c>
      <c r="BZ17">
        <v>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11</v>
      </c>
      <c r="CI17">
        <v>1</v>
      </c>
      <c r="CJ17">
        <v>5</v>
      </c>
      <c r="CK17">
        <v>0</v>
      </c>
      <c r="CL17">
        <v>3</v>
      </c>
      <c r="CM17">
        <v>0</v>
      </c>
      <c r="CN17">
        <v>6</v>
      </c>
      <c r="CO17">
        <v>6</v>
      </c>
      <c r="CP17">
        <v>0</v>
      </c>
      <c r="CQ17">
        <v>0</v>
      </c>
      <c r="CR17">
        <v>0</v>
      </c>
      <c r="CS17">
        <v>4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</row>
    <row r="18" spans="1:112" x14ac:dyDescent="0.45">
      <c r="A18" t="s">
        <v>4</v>
      </c>
      <c r="B18" t="s">
        <v>132</v>
      </c>
      <c r="C18" t="s">
        <v>6</v>
      </c>
      <c r="D18">
        <v>128</v>
      </c>
      <c r="E18" t="s">
        <v>137</v>
      </c>
      <c r="F18" t="s">
        <v>2</v>
      </c>
      <c r="G18" t="s">
        <v>143</v>
      </c>
      <c r="H18">
        <v>2103</v>
      </c>
      <c r="I18">
        <v>9.5938801711840203</v>
      </c>
      <c r="J18">
        <v>0</v>
      </c>
      <c r="K18">
        <v>81.06</v>
      </c>
      <c r="L18">
        <v>1460</v>
      </c>
      <c r="M18">
        <v>5</v>
      </c>
      <c r="N18">
        <v>0</v>
      </c>
      <c r="O18">
        <v>0</v>
      </c>
      <c r="P18">
        <v>0</v>
      </c>
      <c r="Q18">
        <v>0</v>
      </c>
      <c r="R18">
        <v>25</v>
      </c>
      <c r="S18">
        <v>0</v>
      </c>
      <c r="T18">
        <v>0</v>
      </c>
      <c r="U18">
        <v>0</v>
      </c>
      <c r="V18">
        <v>4</v>
      </c>
      <c r="W18">
        <v>0</v>
      </c>
      <c r="X18">
        <v>0</v>
      </c>
      <c r="Y18">
        <v>0</v>
      </c>
      <c r="Z18">
        <v>0</v>
      </c>
      <c r="AA18">
        <v>3</v>
      </c>
      <c r="AB18">
        <v>0</v>
      </c>
      <c r="AC18">
        <v>0</v>
      </c>
      <c r="AD18">
        <v>0</v>
      </c>
      <c r="AE18">
        <v>0</v>
      </c>
      <c r="AF18">
        <v>24</v>
      </c>
      <c r="AG18">
        <v>0</v>
      </c>
      <c r="AH18">
        <v>0</v>
      </c>
      <c r="AI18">
        <v>4</v>
      </c>
      <c r="AJ18">
        <v>306</v>
      </c>
      <c r="AK18">
        <v>0</v>
      </c>
      <c r="AL18">
        <v>24</v>
      </c>
      <c r="AM18">
        <v>25</v>
      </c>
      <c r="AN18">
        <v>42</v>
      </c>
      <c r="AO18">
        <v>12</v>
      </c>
      <c r="AP18">
        <v>0</v>
      </c>
      <c r="AQ18">
        <v>9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43</v>
      </c>
      <c r="BE18">
        <v>3</v>
      </c>
      <c r="BF18">
        <v>1</v>
      </c>
      <c r="BG18">
        <v>0</v>
      </c>
      <c r="BH18">
        <v>1</v>
      </c>
      <c r="BI18">
        <v>0</v>
      </c>
      <c r="BJ18">
        <v>18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7</v>
      </c>
      <c r="BQ18">
        <v>0</v>
      </c>
      <c r="BR18">
        <v>0</v>
      </c>
      <c r="BS18">
        <v>0</v>
      </c>
      <c r="BT18">
        <v>0</v>
      </c>
      <c r="BU18">
        <v>9</v>
      </c>
      <c r="BV18">
        <v>35</v>
      </c>
      <c r="BW18">
        <v>2</v>
      </c>
      <c r="BX18">
        <v>1</v>
      </c>
      <c r="BY18">
        <v>0</v>
      </c>
      <c r="BZ18">
        <v>4</v>
      </c>
      <c r="CA18">
        <v>0</v>
      </c>
      <c r="CB18">
        <v>0</v>
      </c>
      <c r="CC18">
        <v>0</v>
      </c>
      <c r="CD18">
        <v>0</v>
      </c>
      <c r="CE18">
        <v>2</v>
      </c>
      <c r="CF18">
        <v>2</v>
      </c>
      <c r="CG18">
        <v>0</v>
      </c>
      <c r="CH18">
        <v>5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12</v>
      </c>
      <c r="CO18">
        <v>3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</row>
    <row r="19" spans="1:112" x14ac:dyDescent="0.45">
      <c r="A19" t="s">
        <v>4</v>
      </c>
      <c r="B19" t="s">
        <v>132</v>
      </c>
      <c r="C19" t="s">
        <v>6</v>
      </c>
      <c r="D19">
        <v>128</v>
      </c>
      <c r="E19" t="s">
        <v>137</v>
      </c>
      <c r="F19" t="s">
        <v>2</v>
      </c>
      <c r="G19" t="s">
        <v>134</v>
      </c>
      <c r="H19">
        <v>2328</v>
      </c>
      <c r="I19">
        <v>13.0732388316151</v>
      </c>
      <c r="J19">
        <v>0</v>
      </c>
      <c r="K19">
        <v>85.23</v>
      </c>
      <c r="L19">
        <v>1460</v>
      </c>
      <c r="M19">
        <v>5</v>
      </c>
      <c r="N19">
        <v>0</v>
      </c>
      <c r="O19">
        <v>0</v>
      </c>
      <c r="P19">
        <v>0</v>
      </c>
      <c r="Q19">
        <v>0</v>
      </c>
      <c r="R19">
        <v>25</v>
      </c>
      <c r="S19">
        <v>0</v>
      </c>
      <c r="T19">
        <v>0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33</v>
      </c>
      <c r="AG19">
        <v>0</v>
      </c>
      <c r="AH19">
        <v>0</v>
      </c>
      <c r="AI19">
        <v>7</v>
      </c>
      <c r="AJ19">
        <v>346</v>
      </c>
      <c r="AK19">
        <v>0</v>
      </c>
      <c r="AL19">
        <v>28</v>
      </c>
      <c r="AM19">
        <v>31</v>
      </c>
      <c r="AN19">
        <v>42</v>
      </c>
      <c r="AO19">
        <v>12</v>
      </c>
      <c r="AP19">
        <v>0</v>
      </c>
      <c r="AQ19">
        <v>9</v>
      </c>
      <c r="AR19">
        <v>5</v>
      </c>
      <c r="AS19">
        <v>2</v>
      </c>
      <c r="AT19">
        <v>10</v>
      </c>
      <c r="AU19">
        <v>0</v>
      </c>
      <c r="AV19">
        <v>46</v>
      </c>
      <c r="AW19">
        <v>7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49</v>
      </c>
      <c r="BE19">
        <v>3</v>
      </c>
      <c r="BF19">
        <v>3</v>
      </c>
      <c r="BG19">
        <v>0</v>
      </c>
      <c r="BH19">
        <v>1</v>
      </c>
      <c r="BI19">
        <v>0</v>
      </c>
      <c r="BJ19">
        <v>30</v>
      </c>
      <c r="BK19">
        <v>1</v>
      </c>
      <c r="BL19">
        <v>0</v>
      </c>
      <c r="BM19">
        <v>2</v>
      </c>
      <c r="BN19">
        <v>0</v>
      </c>
      <c r="BO19">
        <v>0</v>
      </c>
      <c r="BP19">
        <v>9</v>
      </c>
      <c r="BQ19">
        <v>0</v>
      </c>
      <c r="BR19">
        <v>0</v>
      </c>
      <c r="BS19">
        <v>0</v>
      </c>
      <c r="BT19">
        <v>0</v>
      </c>
      <c r="BU19">
        <v>15</v>
      </c>
      <c r="BV19">
        <v>60</v>
      </c>
      <c r="BW19">
        <v>5</v>
      </c>
      <c r="BX19">
        <v>1</v>
      </c>
      <c r="BY19">
        <v>6</v>
      </c>
      <c r="BZ19">
        <v>7</v>
      </c>
      <c r="CA19">
        <v>0</v>
      </c>
      <c r="CB19">
        <v>0</v>
      </c>
      <c r="CC19">
        <v>0</v>
      </c>
      <c r="CD19">
        <v>0</v>
      </c>
      <c r="CE19">
        <v>2</v>
      </c>
      <c r="CF19">
        <v>2</v>
      </c>
      <c r="CG19">
        <v>0</v>
      </c>
      <c r="CH19">
        <v>16</v>
      </c>
      <c r="CI19">
        <v>1</v>
      </c>
      <c r="CJ19">
        <v>6</v>
      </c>
      <c r="CK19">
        <v>0</v>
      </c>
      <c r="CL19">
        <v>3</v>
      </c>
      <c r="CM19">
        <v>0</v>
      </c>
      <c r="CN19">
        <v>18</v>
      </c>
      <c r="CO19">
        <v>9</v>
      </c>
      <c r="CP19">
        <v>0</v>
      </c>
      <c r="CQ19">
        <v>0</v>
      </c>
      <c r="CR19">
        <v>0</v>
      </c>
      <c r="CS19">
        <v>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 x14ac:dyDescent="0.45">
      <c r="A20" t="s">
        <v>4</v>
      </c>
      <c r="B20" t="s">
        <v>132</v>
      </c>
      <c r="C20" t="s">
        <v>7</v>
      </c>
      <c r="D20">
        <v>256</v>
      </c>
      <c r="E20" t="s">
        <v>133</v>
      </c>
      <c r="F20" t="s">
        <v>0</v>
      </c>
      <c r="G20" t="s">
        <v>135</v>
      </c>
      <c r="H20">
        <v>1659</v>
      </c>
      <c r="I20">
        <v>56.224032549728697</v>
      </c>
      <c r="J20">
        <v>1.32</v>
      </c>
      <c r="K20">
        <v>86.33</v>
      </c>
      <c r="L20">
        <v>0</v>
      </c>
      <c r="M20">
        <v>2</v>
      </c>
      <c r="N20">
        <v>0</v>
      </c>
      <c r="O20">
        <v>0</v>
      </c>
      <c r="P20">
        <v>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7</v>
      </c>
      <c r="AJ20">
        <v>54</v>
      </c>
      <c r="AK20">
        <v>0</v>
      </c>
      <c r="AL20">
        <v>7</v>
      </c>
      <c r="AM20">
        <v>3</v>
      </c>
      <c r="AN20">
        <v>65</v>
      </c>
      <c r="AO20">
        <v>50</v>
      </c>
      <c r="AP20">
        <v>2</v>
      </c>
      <c r="AQ20">
        <v>125</v>
      </c>
      <c r="AR20">
        <v>0</v>
      </c>
      <c r="AS20">
        <v>0</v>
      </c>
      <c r="AT20">
        <v>13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110</v>
      </c>
      <c r="BB20">
        <v>0</v>
      </c>
      <c r="BC20">
        <v>0</v>
      </c>
      <c r="BD20">
        <v>24</v>
      </c>
      <c r="BE20">
        <v>46</v>
      </c>
      <c r="BF20">
        <v>10</v>
      </c>
      <c r="BG20">
        <v>30</v>
      </c>
      <c r="BH20">
        <v>0</v>
      </c>
      <c r="BI20">
        <v>5</v>
      </c>
      <c r="BJ20">
        <v>169</v>
      </c>
      <c r="BK20">
        <v>0</v>
      </c>
      <c r="BL20">
        <v>18</v>
      </c>
      <c r="BM20">
        <v>0</v>
      </c>
      <c r="BN20">
        <v>4</v>
      </c>
      <c r="BO20">
        <v>40</v>
      </c>
      <c r="BP20">
        <v>0</v>
      </c>
      <c r="BQ20">
        <v>13</v>
      </c>
      <c r="BR20">
        <v>0</v>
      </c>
      <c r="BS20">
        <v>0</v>
      </c>
      <c r="BT20">
        <v>16</v>
      </c>
      <c r="BU20">
        <v>22</v>
      </c>
      <c r="BV20">
        <v>61</v>
      </c>
      <c r="BW20">
        <v>16</v>
      </c>
      <c r="BX20">
        <v>156</v>
      </c>
      <c r="BY20">
        <v>70</v>
      </c>
      <c r="BZ20">
        <v>2</v>
      </c>
      <c r="CA20">
        <v>0</v>
      </c>
      <c r="CB20">
        <v>0</v>
      </c>
      <c r="CC20">
        <v>0</v>
      </c>
      <c r="CD20">
        <v>13</v>
      </c>
      <c r="CE20">
        <v>33</v>
      </c>
      <c r="CF20">
        <v>53</v>
      </c>
      <c r="CG20">
        <v>91</v>
      </c>
      <c r="CH20">
        <v>60</v>
      </c>
      <c r="CI20">
        <v>12</v>
      </c>
      <c r="CJ20">
        <v>17</v>
      </c>
      <c r="CK20">
        <v>16</v>
      </c>
      <c r="CL20">
        <v>0</v>
      </c>
      <c r="CM20">
        <v>12</v>
      </c>
      <c r="CN20">
        <v>34</v>
      </c>
      <c r="CO20">
        <v>47</v>
      </c>
      <c r="CP20">
        <v>44</v>
      </c>
      <c r="CQ20">
        <v>0</v>
      </c>
      <c r="CR20">
        <v>0</v>
      </c>
      <c r="CS20">
        <v>38</v>
      </c>
      <c r="CT20">
        <v>45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 x14ac:dyDescent="0.45">
      <c r="A21" t="s">
        <v>4</v>
      </c>
      <c r="B21" t="s">
        <v>132</v>
      </c>
      <c r="C21" t="s">
        <v>7</v>
      </c>
      <c r="D21">
        <v>256</v>
      </c>
      <c r="E21" t="s">
        <v>133</v>
      </c>
      <c r="F21" t="s">
        <v>0</v>
      </c>
      <c r="G21" t="s">
        <v>143</v>
      </c>
      <c r="H21">
        <v>118</v>
      </c>
      <c r="I21">
        <v>75.735677966101605</v>
      </c>
      <c r="J21">
        <v>40</v>
      </c>
      <c r="K21">
        <v>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8</v>
      </c>
      <c r="CK21">
        <v>44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43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</row>
    <row r="22" spans="1:112" x14ac:dyDescent="0.45">
      <c r="A22" t="s">
        <v>4</v>
      </c>
      <c r="B22" t="s">
        <v>132</v>
      </c>
      <c r="C22" t="s">
        <v>7</v>
      </c>
      <c r="D22">
        <v>256</v>
      </c>
      <c r="E22" t="s">
        <v>133</v>
      </c>
      <c r="F22" t="s">
        <v>0</v>
      </c>
      <c r="G22" t="s">
        <v>134</v>
      </c>
      <c r="H22">
        <v>1777</v>
      </c>
      <c r="I22">
        <v>57.5196848621271</v>
      </c>
      <c r="J22">
        <v>1.32</v>
      </c>
      <c r="K22">
        <v>88</v>
      </c>
      <c r="L22">
        <v>0</v>
      </c>
      <c r="M22">
        <v>2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7</v>
      </c>
      <c r="AJ22">
        <v>54</v>
      </c>
      <c r="AK22">
        <v>0</v>
      </c>
      <c r="AL22">
        <v>7</v>
      </c>
      <c r="AM22">
        <v>3</v>
      </c>
      <c r="AN22">
        <v>65</v>
      </c>
      <c r="AO22">
        <v>50</v>
      </c>
      <c r="AP22">
        <v>2</v>
      </c>
      <c r="AQ22">
        <v>125</v>
      </c>
      <c r="AR22">
        <v>0</v>
      </c>
      <c r="AS22">
        <v>0</v>
      </c>
      <c r="AT22">
        <v>13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8</v>
      </c>
      <c r="BA22">
        <v>110</v>
      </c>
      <c r="BB22">
        <v>0</v>
      </c>
      <c r="BC22">
        <v>0</v>
      </c>
      <c r="BD22">
        <v>24</v>
      </c>
      <c r="BE22">
        <v>46</v>
      </c>
      <c r="BF22">
        <v>10</v>
      </c>
      <c r="BG22">
        <v>30</v>
      </c>
      <c r="BH22">
        <v>0</v>
      </c>
      <c r="BI22">
        <v>5</v>
      </c>
      <c r="BJ22">
        <v>169</v>
      </c>
      <c r="BK22">
        <v>0</v>
      </c>
      <c r="BL22">
        <v>18</v>
      </c>
      <c r="BM22">
        <v>0</v>
      </c>
      <c r="BN22">
        <v>16</v>
      </c>
      <c r="BO22">
        <v>40</v>
      </c>
      <c r="BP22">
        <v>0</v>
      </c>
      <c r="BQ22">
        <v>13</v>
      </c>
      <c r="BR22">
        <v>0</v>
      </c>
      <c r="BS22">
        <v>0</v>
      </c>
      <c r="BT22">
        <v>16</v>
      </c>
      <c r="BU22">
        <v>22</v>
      </c>
      <c r="BV22">
        <v>61</v>
      </c>
      <c r="BW22">
        <v>16</v>
      </c>
      <c r="BX22">
        <v>156</v>
      </c>
      <c r="BY22">
        <v>73</v>
      </c>
      <c r="BZ22">
        <v>2</v>
      </c>
      <c r="CA22">
        <v>0</v>
      </c>
      <c r="CB22">
        <v>0</v>
      </c>
      <c r="CC22">
        <v>0</v>
      </c>
      <c r="CD22">
        <v>13</v>
      </c>
      <c r="CE22">
        <v>33</v>
      </c>
      <c r="CF22">
        <v>53</v>
      </c>
      <c r="CG22">
        <v>91</v>
      </c>
      <c r="CH22">
        <v>60</v>
      </c>
      <c r="CI22">
        <v>12</v>
      </c>
      <c r="CJ22">
        <v>25</v>
      </c>
      <c r="CK22">
        <v>60</v>
      </c>
      <c r="CL22">
        <v>0</v>
      </c>
      <c r="CM22">
        <v>12</v>
      </c>
      <c r="CN22">
        <v>34</v>
      </c>
      <c r="CO22">
        <v>47</v>
      </c>
      <c r="CP22">
        <v>44</v>
      </c>
      <c r="CQ22">
        <v>0</v>
      </c>
      <c r="CR22">
        <v>0</v>
      </c>
      <c r="CS22">
        <v>38</v>
      </c>
      <c r="CT22">
        <v>45</v>
      </c>
      <c r="CU22">
        <v>0</v>
      </c>
      <c r="CV22">
        <v>43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</row>
    <row r="23" spans="1:112" x14ac:dyDescent="0.45">
      <c r="A23" t="s">
        <v>4</v>
      </c>
      <c r="B23" t="s">
        <v>132</v>
      </c>
      <c r="C23" t="s">
        <v>7</v>
      </c>
      <c r="D23">
        <v>256</v>
      </c>
      <c r="E23" t="s">
        <v>136</v>
      </c>
      <c r="F23" t="s">
        <v>1</v>
      </c>
      <c r="G23" t="s">
        <v>135</v>
      </c>
      <c r="H23">
        <v>631</v>
      </c>
      <c r="I23">
        <v>46.591584786053801</v>
      </c>
      <c r="J23">
        <v>32.82</v>
      </c>
      <c r="K23">
        <v>48.42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6</v>
      </c>
      <c r="AT23">
        <v>0</v>
      </c>
      <c r="AU23">
        <v>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7</v>
      </c>
      <c r="BC23">
        <v>6</v>
      </c>
      <c r="BD23">
        <v>20</v>
      </c>
      <c r="BE23">
        <v>0</v>
      </c>
      <c r="BF23">
        <v>122</v>
      </c>
      <c r="BG23">
        <v>231</v>
      </c>
      <c r="BH23">
        <v>230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</row>
    <row r="24" spans="1:112" x14ac:dyDescent="0.45">
      <c r="A24" t="s">
        <v>4</v>
      </c>
      <c r="B24" t="s">
        <v>132</v>
      </c>
      <c r="C24" t="s">
        <v>7</v>
      </c>
      <c r="D24">
        <v>256</v>
      </c>
      <c r="E24" t="s">
        <v>136</v>
      </c>
      <c r="F24" t="s">
        <v>1</v>
      </c>
      <c r="G24" t="s">
        <v>143</v>
      </c>
      <c r="H24">
        <v>1146</v>
      </c>
      <c r="I24">
        <v>46.355139616055801</v>
      </c>
      <c r="J24">
        <v>29.54</v>
      </c>
      <c r="K24">
        <v>48.44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24</v>
      </c>
      <c r="AQ24">
        <v>0</v>
      </c>
      <c r="AR24">
        <v>0</v>
      </c>
      <c r="AS24">
        <v>8</v>
      </c>
      <c r="AT24">
        <v>0</v>
      </c>
      <c r="AU24">
        <v>8</v>
      </c>
      <c r="AV24">
        <v>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5</v>
      </c>
      <c r="BC24">
        <v>7</v>
      </c>
      <c r="BD24">
        <v>49</v>
      </c>
      <c r="BE24">
        <v>0</v>
      </c>
      <c r="BF24">
        <v>290</v>
      </c>
      <c r="BG24">
        <v>232</v>
      </c>
      <c r="BH24">
        <v>515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</row>
    <row r="25" spans="1:112" x14ac:dyDescent="0.45">
      <c r="A25" t="s">
        <v>4</v>
      </c>
      <c r="B25" t="s">
        <v>132</v>
      </c>
      <c r="C25" t="s">
        <v>7</v>
      </c>
      <c r="D25">
        <v>256</v>
      </c>
      <c r="E25" t="s">
        <v>136</v>
      </c>
      <c r="F25" t="s">
        <v>1</v>
      </c>
      <c r="G25" t="s">
        <v>134</v>
      </c>
      <c r="H25">
        <v>1777</v>
      </c>
      <c r="I25">
        <v>46.439099606077598</v>
      </c>
      <c r="J25">
        <v>29.54</v>
      </c>
      <c r="K25">
        <v>48.44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24</v>
      </c>
      <c r="AQ25">
        <v>0</v>
      </c>
      <c r="AR25">
        <v>0</v>
      </c>
      <c r="AS25">
        <v>14</v>
      </c>
      <c r="AT25">
        <v>0</v>
      </c>
      <c r="AU25">
        <v>17</v>
      </c>
      <c r="AV25">
        <v>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12</v>
      </c>
      <c r="BC25">
        <v>13</v>
      </c>
      <c r="BD25">
        <v>69</v>
      </c>
      <c r="BE25">
        <v>0</v>
      </c>
      <c r="BF25">
        <v>412</v>
      </c>
      <c r="BG25">
        <v>463</v>
      </c>
      <c r="BH25">
        <v>745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</row>
    <row r="26" spans="1:112" x14ac:dyDescent="0.45">
      <c r="A26" t="s">
        <v>4</v>
      </c>
      <c r="B26" t="s">
        <v>132</v>
      </c>
      <c r="C26" t="s">
        <v>7</v>
      </c>
      <c r="D26">
        <v>256</v>
      </c>
      <c r="E26" t="s">
        <v>137</v>
      </c>
      <c r="F26" t="s">
        <v>2</v>
      </c>
      <c r="G26" t="s">
        <v>135</v>
      </c>
      <c r="H26">
        <v>208</v>
      </c>
      <c r="I26">
        <v>46.125240384615303</v>
      </c>
      <c r="J26">
        <v>1.32</v>
      </c>
      <c r="K26">
        <v>76.47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54</v>
      </c>
      <c r="AK26">
        <v>0</v>
      </c>
      <c r="AL26">
        <v>9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3</v>
      </c>
      <c r="AS26">
        <v>0</v>
      </c>
      <c r="AT26">
        <v>13</v>
      </c>
      <c r="AU26">
        <v>0</v>
      </c>
      <c r="AV26">
        <v>12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8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4</v>
      </c>
      <c r="BQ26">
        <v>0</v>
      </c>
      <c r="BR26">
        <v>0</v>
      </c>
      <c r="BS26">
        <v>0</v>
      </c>
      <c r="BT26">
        <v>0</v>
      </c>
      <c r="BU26">
        <v>6</v>
      </c>
      <c r="BV26">
        <v>33</v>
      </c>
      <c r="BW26">
        <v>0</v>
      </c>
      <c r="BX26">
        <v>0</v>
      </c>
      <c r="BY26">
        <v>7</v>
      </c>
      <c r="BZ26">
        <v>6</v>
      </c>
      <c r="CA26">
        <v>0</v>
      </c>
      <c r="CB26">
        <v>43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</row>
    <row r="27" spans="1:112" x14ac:dyDescent="0.45">
      <c r="A27" t="s">
        <v>4</v>
      </c>
      <c r="B27" t="s">
        <v>132</v>
      </c>
      <c r="C27" t="s">
        <v>7</v>
      </c>
      <c r="D27">
        <v>256</v>
      </c>
      <c r="E27" t="s">
        <v>137</v>
      </c>
      <c r="F27" t="s">
        <v>2</v>
      </c>
      <c r="G27" t="s">
        <v>143</v>
      </c>
      <c r="H27">
        <v>1569</v>
      </c>
      <c r="I27">
        <v>6.5489866156787704</v>
      </c>
      <c r="J27">
        <v>0</v>
      </c>
      <c r="K27">
        <v>65.709999999999994</v>
      </c>
      <c r="L27">
        <v>1204</v>
      </c>
      <c r="M27">
        <v>3</v>
      </c>
      <c r="N27">
        <v>0</v>
      </c>
      <c r="O27">
        <v>0</v>
      </c>
      <c r="P27">
        <v>0</v>
      </c>
      <c r="Q27">
        <v>0</v>
      </c>
      <c r="R27">
        <v>17</v>
      </c>
      <c r="S27">
        <v>0</v>
      </c>
      <c r="T27">
        <v>0</v>
      </c>
      <c r="U27">
        <v>0</v>
      </c>
      <c r="V27">
        <v>4</v>
      </c>
      <c r="W27">
        <v>0</v>
      </c>
      <c r="X27">
        <v>0</v>
      </c>
      <c r="Y27">
        <v>0</v>
      </c>
      <c r="Z27">
        <v>0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24</v>
      </c>
      <c r="AG27">
        <v>0</v>
      </c>
      <c r="AH27">
        <v>0</v>
      </c>
      <c r="AI27">
        <v>1</v>
      </c>
      <c r="AJ27">
        <v>169</v>
      </c>
      <c r="AK27">
        <v>0</v>
      </c>
      <c r="AL27">
        <v>17</v>
      </c>
      <c r="AM27">
        <v>16</v>
      </c>
      <c r="AN27">
        <v>26</v>
      </c>
      <c r="AO27">
        <v>5</v>
      </c>
      <c r="AP27">
        <v>0</v>
      </c>
      <c r="AQ27">
        <v>6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35</v>
      </c>
      <c r="BE27">
        <v>1</v>
      </c>
      <c r="BF27">
        <v>1</v>
      </c>
      <c r="BG27">
        <v>0</v>
      </c>
      <c r="BH27">
        <v>1</v>
      </c>
      <c r="BI27">
        <v>0</v>
      </c>
      <c r="BJ27">
        <v>10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3</v>
      </c>
      <c r="BQ27">
        <v>0</v>
      </c>
      <c r="BR27">
        <v>0</v>
      </c>
      <c r="BS27">
        <v>0</v>
      </c>
      <c r="BT27">
        <v>0</v>
      </c>
      <c r="BU27">
        <v>3</v>
      </c>
      <c r="BV27">
        <v>9</v>
      </c>
      <c r="BW27">
        <v>2</v>
      </c>
      <c r="BX27">
        <v>0</v>
      </c>
      <c r="BY27">
        <v>0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</row>
    <row r="28" spans="1:112" x14ac:dyDescent="0.45">
      <c r="A28" t="s">
        <v>4</v>
      </c>
      <c r="B28" t="s">
        <v>132</v>
      </c>
      <c r="C28" t="s">
        <v>7</v>
      </c>
      <c r="D28">
        <v>256</v>
      </c>
      <c r="E28" t="s">
        <v>137</v>
      </c>
      <c r="F28" t="s">
        <v>2</v>
      </c>
      <c r="G28" t="s">
        <v>134</v>
      </c>
      <c r="H28">
        <v>1777</v>
      </c>
      <c r="I28">
        <v>11.1814350028137</v>
      </c>
      <c r="J28">
        <v>0</v>
      </c>
      <c r="K28">
        <v>76.47</v>
      </c>
      <c r="L28">
        <v>1204</v>
      </c>
      <c r="M28">
        <v>5</v>
      </c>
      <c r="N28">
        <v>0</v>
      </c>
      <c r="O28">
        <v>0</v>
      </c>
      <c r="P28">
        <v>0</v>
      </c>
      <c r="Q28">
        <v>0</v>
      </c>
      <c r="R28">
        <v>17</v>
      </c>
      <c r="S28">
        <v>0</v>
      </c>
      <c r="T28">
        <v>0</v>
      </c>
      <c r="U28">
        <v>0</v>
      </c>
      <c r="V28">
        <v>4</v>
      </c>
      <c r="W28">
        <v>0</v>
      </c>
      <c r="X28">
        <v>0</v>
      </c>
      <c r="Y28">
        <v>0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24</v>
      </c>
      <c r="AG28">
        <v>0</v>
      </c>
      <c r="AH28">
        <v>0</v>
      </c>
      <c r="AI28">
        <v>4</v>
      </c>
      <c r="AJ28">
        <v>223</v>
      </c>
      <c r="AK28">
        <v>0</v>
      </c>
      <c r="AL28">
        <v>26</v>
      </c>
      <c r="AM28">
        <v>19</v>
      </c>
      <c r="AN28">
        <v>26</v>
      </c>
      <c r="AO28">
        <v>5</v>
      </c>
      <c r="AP28">
        <v>0</v>
      </c>
      <c r="AQ28">
        <v>6</v>
      </c>
      <c r="AR28">
        <v>3</v>
      </c>
      <c r="AS28">
        <v>1</v>
      </c>
      <c r="AT28">
        <v>13</v>
      </c>
      <c r="AU28">
        <v>0</v>
      </c>
      <c r="AV28">
        <v>12</v>
      </c>
      <c r="AW28">
        <v>6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35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18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7</v>
      </c>
      <c r="BQ28">
        <v>0</v>
      </c>
      <c r="BR28">
        <v>0</v>
      </c>
      <c r="BS28">
        <v>0</v>
      </c>
      <c r="BT28">
        <v>0</v>
      </c>
      <c r="BU28">
        <v>9</v>
      </c>
      <c r="BV28">
        <v>42</v>
      </c>
      <c r="BW28">
        <v>2</v>
      </c>
      <c r="BX28">
        <v>0</v>
      </c>
      <c r="BY28">
        <v>7</v>
      </c>
      <c r="BZ28">
        <v>8</v>
      </c>
      <c r="CA28">
        <v>0</v>
      </c>
      <c r="CB28">
        <v>43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</row>
    <row r="29" spans="1:112" x14ac:dyDescent="0.45">
      <c r="A29" t="s">
        <v>8</v>
      </c>
      <c r="B29" t="s">
        <v>138</v>
      </c>
      <c r="C29" t="s">
        <v>5</v>
      </c>
      <c r="D29">
        <v>96</v>
      </c>
      <c r="E29" t="s">
        <v>133</v>
      </c>
      <c r="F29" t="s">
        <v>0</v>
      </c>
      <c r="G29" t="s">
        <v>135</v>
      </c>
      <c r="H29">
        <v>591</v>
      </c>
      <c r="I29">
        <v>40.298020304568503</v>
      </c>
      <c r="J29">
        <v>25</v>
      </c>
      <c r="K29">
        <v>54.17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59</v>
      </c>
      <c r="AR29">
        <v>17</v>
      </c>
      <c r="AS29">
        <v>269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34</v>
      </c>
      <c r="BK29">
        <v>0</v>
      </c>
      <c r="BL29">
        <v>0</v>
      </c>
      <c r="BM29">
        <v>0</v>
      </c>
      <c r="BN29">
        <v>187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</row>
    <row r="30" spans="1:112" x14ac:dyDescent="0.45">
      <c r="A30" t="s">
        <v>8</v>
      </c>
      <c r="B30" t="s">
        <v>138</v>
      </c>
      <c r="C30" t="s">
        <v>5</v>
      </c>
      <c r="D30">
        <v>96</v>
      </c>
      <c r="E30" t="s">
        <v>133</v>
      </c>
      <c r="F30" t="s">
        <v>0</v>
      </c>
      <c r="G30" t="s">
        <v>143</v>
      </c>
      <c r="H30">
        <v>708</v>
      </c>
      <c r="I30">
        <v>16.326836158191998</v>
      </c>
      <c r="J30">
        <v>0</v>
      </c>
      <c r="K30">
        <v>33.33</v>
      </c>
      <c r="L30">
        <v>310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29</v>
      </c>
      <c r="AS30">
        <v>168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</row>
    <row r="31" spans="1:112" x14ac:dyDescent="0.45">
      <c r="A31" t="s">
        <v>8</v>
      </c>
      <c r="B31" t="s">
        <v>138</v>
      </c>
      <c r="C31" t="s">
        <v>5</v>
      </c>
      <c r="D31">
        <v>96</v>
      </c>
      <c r="E31" t="s">
        <v>133</v>
      </c>
      <c r="F31" t="s">
        <v>0</v>
      </c>
      <c r="G31" t="s">
        <v>134</v>
      </c>
      <c r="H31">
        <v>1299</v>
      </c>
      <c r="I31">
        <v>27.232894534257099</v>
      </c>
      <c r="J31">
        <v>0</v>
      </c>
      <c r="K31">
        <v>54.17</v>
      </c>
      <c r="L31">
        <v>310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59</v>
      </c>
      <c r="AR31">
        <v>46</v>
      </c>
      <c r="AS31">
        <v>437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34</v>
      </c>
      <c r="BK31">
        <v>0</v>
      </c>
      <c r="BL31">
        <v>0</v>
      </c>
      <c r="BM31">
        <v>0</v>
      </c>
      <c r="BN31">
        <v>187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</row>
    <row r="32" spans="1:112" x14ac:dyDescent="0.45">
      <c r="A32" t="s">
        <v>8</v>
      </c>
      <c r="B32" t="s">
        <v>138</v>
      </c>
      <c r="C32" t="s">
        <v>5</v>
      </c>
      <c r="D32">
        <v>96</v>
      </c>
      <c r="E32" t="s">
        <v>136</v>
      </c>
      <c r="F32" t="s">
        <v>1</v>
      </c>
      <c r="G32" t="s">
        <v>135</v>
      </c>
      <c r="H32">
        <v>288</v>
      </c>
      <c r="I32">
        <v>33.024791666666601</v>
      </c>
      <c r="J32">
        <v>32.46</v>
      </c>
      <c r="K32">
        <v>33.22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17</v>
      </c>
      <c r="AS32">
        <v>271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</row>
    <row r="33" spans="1:112" x14ac:dyDescent="0.45">
      <c r="A33" t="s">
        <v>8</v>
      </c>
      <c r="B33" t="s">
        <v>138</v>
      </c>
      <c r="C33" t="s">
        <v>5</v>
      </c>
      <c r="D33">
        <v>96</v>
      </c>
      <c r="E33" t="s">
        <v>136</v>
      </c>
      <c r="F33" t="s">
        <v>1</v>
      </c>
      <c r="G33" t="s">
        <v>143</v>
      </c>
      <c r="H33">
        <v>1011</v>
      </c>
      <c r="I33">
        <v>20.954114737883199</v>
      </c>
      <c r="J33">
        <v>0</v>
      </c>
      <c r="K33">
        <v>33.25</v>
      </c>
      <c r="L33">
        <v>369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53</v>
      </c>
      <c r="AS33">
        <v>589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</row>
    <row r="34" spans="1:112" x14ac:dyDescent="0.45">
      <c r="A34" t="s">
        <v>8</v>
      </c>
      <c r="B34" t="s">
        <v>138</v>
      </c>
      <c r="C34" t="s">
        <v>5</v>
      </c>
      <c r="D34">
        <v>96</v>
      </c>
      <c r="E34" t="s">
        <v>136</v>
      </c>
      <c r="F34" t="s">
        <v>1</v>
      </c>
      <c r="G34" t="s">
        <v>134</v>
      </c>
      <c r="H34">
        <v>1299</v>
      </c>
      <c r="I34">
        <v>23.630292532717402</v>
      </c>
      <c r="J34">
        <v>0</v>
      </c>
      <c r="K34">
        <v>33.25</v>
      </c>
      <c r="L34">
        <v>369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70</v>
      </c>
      <c r="AS34">
        <v>860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</row>
    <row r="35" spans="1:112" x14ac:dyDescent="0.45">
      <c r="A35" t="s">
        <v>8</v>
      </c>
      <c r="B35" t="s">
        <v>138</v>
      </c>
      <c r="C35" t="s">
        <v>5</v>
      </c>
      <c r="D35">
        <v>96</v>
      </c>
      <c r="E35" t="s">
        <v>137</v>
      </c>
      <c r="F35" t="s">
        <v>2</v>
      </c>
      <c r="G35" t="s">
        <v>135</v>
      </c>
      <c r="H35">
        <v>216</v>
      </c>
      <c r="I35">
        <v>24.718333333333302</v>
      </c>
      <c r="J35">
        <v>23.44</v>
      </c>
      <c r="K35">
        <v>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39</v>
      </c>
      <c r="AJ35">
        <v>0</v>
      </c>
      <c r="AK35">
        <v>177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 x14ac:dyDescent="0.45">
      <c r="A36" t="s">
        <v>8</v>
      </c>
      <c r="B36" t="s">
        <v>138</v>
      </c>
      <c r="C36" t="s">
        <v>5</v>
      </c>
      <c r="D36">
        <v>96</v>
      </c>
      <c r="E36" t="s">
        <v>137</v>
      </c>
      <c r="F36" t="s">
        <v>2</v>
      </c>
      <c r="G36" t="s">
        <v>143</v>
      </c>
      <c r="H36">
        <v>1083</v>
      </c>
      <c r="I36">
        <v>7.8697783933518002</v>
      </c>
      <c r="J36">
        <v>0</v>
      </c>
      <c r="K36">
        <v>39.06</v>
      </c>
      <c r="L36">
        <v>803</v>
      </c>
      <c r="M36">
        <v>0</v>
      </c>
      <c r="N36">
        <v>0</v>
      </c>
      <c r="O36">
        <v>0</v>
      </c>
      <c r="P36">
        <v>0</v>
      </c>
      <c r="Q36">
        <v>0</v>
      </c>
      <c r="R36">
        <v>59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187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 x14ac:dyDescent="0.45">
      <c r="A37" t="s">
        <v>8</v>
      </c>
      <c r="B37" t="s">
        <v>138</v>
      </c>
      <c r="C37" t="s">
        <v>5</v>
      </c>
      <c r="D37">
        <v>96</v>
      </c>
      <c r="E37" t="s">
        <v>137</v>
      </c>
      <c r="F37" t="s">
        <v>2</v>
      </c>
      <c r="G37" t="s">
        <v>134</v>
      </c>
      <c r="H37">
        <v>1299</v>
      </c>
      <c r="I37">
        <v>10.6713856812933</v>
      </c>
      <c r="J37">
        <v>0</v>
      </c>
      <c r="K37">
        <v>39.06</v>
      </c>
      <c r="L37">
        <v>803</v>
      </c>
      <c r="M37">
        <v>0</v>
      </c>
      <c r="N37">
        <v>0</v>
      </c>
      <c r="O37">
        <v>0</v>
      </c>
      <c r="P37">
        <v>0</v>
      </c>
      <c r="Q37">
        <v>0</v>
      </c>
      <c r="R37">
        <v>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39</v>
      </c>
      <c r="AJ37">
        <v>0</v>
      </c>
      <c r="AK37">
        <v>211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187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 x14ac:dyDescent="0.45">
      <c r="A38" t="s">
        <v>8</v>
      </c>
      <c r="B38" t="s">
        <v>138</v>
      </c>
      <c r="C38" t="s">
        <v>6</v>
      </c>
      <c r="D38">
        <v>128</v>
      </c>
      <c r="E38" t="s">
        <v>133</v>
      </c>
      <c r="F38" t="s">
        <v>0</v>
      </c>
      <c r="G38" t="s">
        <v>135</v>
      </c>
      <c r="H38">
        <v>330</v>
      </c>
      <c r="I38">
        <v>32.5327272727272</v>
      </c>
      <c r="J38">
        <v>15.79</v>
      </c>
      <c r="K38">
        <v>33.33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315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 x14ac:dyDescent="0.45">
      <c r="A39" t="s">
        <v>8</v>
      </c>
      <c r="B39" t="s">
        <v>138</v>
      </c>
      <c r="C39" t="s">
        <v>6</v>
      </c>
      <c r="D39">
        <v>128</v>
      </c>
      <c r="E39" t="s">
        <v>133</v>
      </c>
      <c r="F39" t="s">
        <v>0</v>
      </c>
      <c r="G39" t="s">
        <v>143</v>
      </c>
      <c r="H39">
        <v>636</v>
      </c>
      <c r="I39">
        <v>16.707515723270401</v>
      </c>
      <c r="J39">
        <v>0</v>
      </c>
      <c r="K39">
        <v>33.33</v>
      </c>
      <c r="L39">
        <v>284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129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29</v>
      </c>
      <c r="AS39">
        <v>194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 x14ac:dyDescent="0.45">
      <c r="A40" t="s">
        <v>8</v>
      </c>
      <c r="B40" t="s">
        <v>138</v>
      </c>
      <c r="C40" t="s">
        <v>6</v>
      </c>
      <c r="D40">
        <v>128</v>
      </c>
      <c r="E40" t="s">
        <v>133</v>
      </c>
      <c r="F40" t="s">
        <v>0</v>
      </c>
      <c r="G40" t="s">
        <v>134</v>
      </c>
      <c r="H40">
        <v>966</v>
      </c>
      <c r="I40">
        <v>22.1136438923395</v>
      </c>
      <c r="J40">
        <v>0</v>
      </c>
      <c r="K40">
        <v>33.33</v>
      </c>
      <c r="L40">
        <v>284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29</v>
      </c>
      <c r="AS40">
        <v>509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 x14ac:dyDescent="0.45">
      <c r="A41" t="s">
        <v>8</v>
      </c>
      <c r="B41" t="s">
        <v>138</v>
      </c>
      <c r="C41" t="s">
        <v>6</v>
      </c>
      <c r="D41">
        <v>128</v>
      </c>
      <c r="E41" t="s">
        <v>136</v>
      </c>
      <c r="F41" t="s">
        <v>1</v>
      </c>
      <c r="G41" t="s">
        <v>135</v>
      </c>
      <c r="H41">
        <v>109</v>
      </c>
      <c r="I41">
        <v>32.904770642201797</v>
      </c>
      <c r="J41">
        <v>32.630000000000003</v>
      </c>
      <c r="K41">
        <v>33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 x14ac:dyDescent="0.45">
      <c r="A42" t="s">
        <v>8</v>
      </c>
      <c r="B42" t="s">
        <v>138</v>
      </c>
      <c r="C42" t="s">
        <v>6</v>
      </c>
      <c r="D42">
        <v>128</v>
      </c>
      <c r="E42" t="s">
        <v>136</v>
      </c>
      <c r="F42" t="s">
        <v>1</v>
      </c>
      <c r="G42" t="s">
        <v>143</v>
      </c>
      <c r="H42">
        <v>857</v>
      </c>
      <c r="I42">
        <v>22.068191365227499</v>
      </c>
      <c r="J42">
        <v>0</v>
      </c>
      <c r="K42">
        <v>33.25</v>
      </c>
      <c r="L42">
        <v>284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53</v>
      </c>
      <c r="AS42">
        <v>520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 x14ac:dyDescent="0.45">
      <c r="A43" t="s">
        <v>8</v>
      </c>
      <c r="B43" t="s">
        <v>138</v>
      </c>
      <c r="C43" t="s">
        <v>6</v>
      </c>
      <c r="D43">
        <v>128</v>
      </c>
      <c r="E43" t="s">
        <v>136</v>
      </c>
      <c r="F43" t="s">
        <v>1</v>
      </c>
      <c r="G43" t="s">
        <v>134</v>
      </c>
      <c r="H43">
        <v>966</v>
      </c>
      <c r="I43">
        <v>23.290952380952302</v>
      </c>
      <c r="J43">
        <v>0</v>
      </c>
      <c r="K43">
        <v>33.25</v>
      </c>
      <c r="L43">
        <v>284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53</v>
      </c>
      <c r="AS43">
        <v>629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 x14ac:dyDescent="0.45">
      <c r="A44" t="s">
        <v>8</v>
      </c>
      <c r="B44" t="s">
        <v>138</v>
      </c>
      <c r="C44" t="s">
        <v>6</v>
      </c>
      <c r="D44">
        <v>128</v>
      </c>
      <c r="E44" t="s">
        <v>137</v>
      </c>
      <c r="F44" t="s">
        <v>2</v>
      </c>
      <c r="G44" t="s">
        <v>135</v>
      </c>
      <c r="H44">
        <v>187</v>
      </c>
      <c r="I44">
        <v>37.959999999999901</v>
      </c>
      <c r="J44">
        <v>37.96</v>
      </c>
      <c r="K44">
        <v>37.96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187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 x14ac:dyDescent="0.45">
      <c r="A45" t="s">
        <v>8</v>
      </c>
      <c r="B45" t="s">
        <v>138</v>
      </c>
      <c r="C45" t="s">
        <v>6</v>
      </c>
      <c r="D45">
        <v>128</v>
      </c>
      <c r="E45" t="s">
        <v>137</v>
      </c>
      <c r="F45" t="s">
        <v>2</v>
      </c>
      <c r="G45" t="s">
        <v>143</v>
      </c>
      <c r="H45">
        <v>779</v>
      </c>
      <c r="I45">
        <v>1.09114249037227</v>
      </c>
      <c r="J45">
        <v>0</v>
      </c>
      <c r="K45">
        <v>25</v>
      </c>
      <c r="L45">
        <v>745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 x14ac:dyDescent="0.45">
      <c r="A46" t="s">
        <v>8</v>
      </c>
      <c r="B46" t="s">
        <v>138</v>
      </c>
      <c r="C46" t="s">
        <v>6</v>
      </c>
      <c r="D46">
        <v>128</v>
      </c>
      <c r="E46" t="s">
        <v>137</v>
      </c>
      <c r="F46" t="s">
        <v>2</v>
      </c>
      <c r="G46" t="s">
        <v>134</v>
      </c>
      <c r="H46">
        <v>966</v>
      </c>
      <c r="I46">
        <v>8.2282815734989594</v>
      </c>
      <c r="J46">
        <v>0</v>
      </c>
      <c r="K46">
        <v>37.96</v>
      </c>
      <c r="L46">
        <v>745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187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 x14ac:dyDescent="0.45">
      <c r="A47" t="s">
        <v>8</v>
      </c>
      <c r="B47" t="s">
        <v>138</v>
      </c>
      <c r="C47" t="s">
        <v>7</v>
      </c>
      <c r="D47">
        <v>256</v>
      </c>
      <c r="E47" t="s">
        <v>133</v>
      </c>
      <c r="F47" t="s">
        <v>0</v>
      </c>
      <c r="G47" t="s">
        <v>135</v>
      </c>
      <c r="H47">
        <v>132</v>
      </c>
      <c r="I47">
        <v>33.138863636363602</v>
      </c>
      <c r="J47">
        <v>32.46</v>
      </c>
      <c r="K47">
        <v>33.33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29</v>
      </c>
      <c r="AS47">
        <v>103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 x14ac:dyDescent="0.45">
      <c r="A48" t="s">
        <v>8</v>
      </c>
      <c r="B48" t="s">
        <v>138</v>
      </c>
      <c r="C48" t="s">
        <v>7</v>
      </c>
      <c r="D48">
        <v>256</v>
      </c>
      <c r="E48" t="s">
        <v>133</v>
      </c>
      <c r="F48" t="s">
        <v>0</v>
      </c>
      <c r="G48" t="s">
        <v>143</v>
      </c>
      <c r="H48">
        <v>313</v>
      </c>
      <c r="I48">
        <v>13.022779552715599</v>
      </c>
      <c r="J48">
        <v>0</v>
      </c>
      <c r="K48">
        <v>33.33</v>
      </c>
      <c r="L48">
        <v>184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24</v>
      </c>
      <c r="AS48">
        <v>81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 x14ac:dyDescent="0.45">
      <c r="A49" t="s">
        <v>8</v>
      </c>
      <c r="B49" t="s">
        <v>138</v>
      </c>
      <c r="C49" t="s">
        <v>7</v>
      </c>
      <c r="D49">
        <v>256</v>
      </c>
      <c r="E49" t="s">
        <v>133</v>
      </c>
      <c r="F49" t="s">
        <v>0</v>
      </c>
      <c r="G49" t="s">
        <v>134</v>
      </c>
      <c r="H49">
        <v>445</v>
      </c>
      <c r="I49">
        <v>18.989797752808901</v>
      </c>
      <c r="J49">
        <v>0</v>
      </c>
      <c r="K49">
        <v>33.33</v>
      </c>
      <c r="L49">
        <v>184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53</v>
      </c>
      <c r="AS49">
        <v>184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 x14ac:dyDescent="0.45">
      <c r="A50" t="s">
        <v>8</v>
      </c>
      <c r="B50" t="s">
        <v>138</v>
      </c>
      <c r="C50" t="s">
        <v>7</v>
      </c>
      <c r="D50">
        <v>256</v>
      </c>
      <c r="E50" t="s">
        <v>136</v>
      </c>
      <c r="F50" t="s">
        <v>1</v>
      </c>
      <c r="G50" t="s">
        <v>135</v>
      </c>
      <c r="H50">
        <v>132</v>
      </c>
      <c r="I50">
        <v>32.899621212121197</v>
      </c>
      <c r="J50">
        <v>32.46</v>
      </c>
      <c r="K50">
        <v>33.07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29</v>
      </c>
      <c r="AS50">
        <v>103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 x14ac:dyDescent="0.45">
      <c r="A51" t="s">
        <v>8</v>
      </c>
      <c r="B51" t="s">
        <v>138</v>
      </c>
      <c r="C51" t="s">
        <v>7</v>
      </c>
      <c r="D51">
        <v>256</v>
      </c>
      <c r="E51" t="s">
        <v>136</v>
      </c>
      <c r="F51" t="s">
        <v>1</v>
      </c>
      <c r="G51" t="s">
        <v>143</v>
      </c>
      <c r="H51">
        <v>313</v>
      </c>
      <c r="I51">
        <v>13.5729392971246</v>
      </c>
      <c r="J51">
        <v>0</v>
      </c>
      <c r="K51">
        <v>33.07</v>
      </c>
      <c r="L51">
        <v>184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24</v>
      </c>
      <c r="AS51">
        <v>105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 x14ac:dyDescent="0.45">
      <c r="A52" t="s">
        <v>8</v>
      </c>
      <c r="B52" t="s">
        <v>138</v>
      </c>
      <c r="C52" t="s">
        <v>7</v>
      </c>
      <c r="D52">
        <v>256</v>
      </c>
      <c r="E52" t="s">
        <v>136</v>
      </c>
      <c r="F52" t="s">
        <v>1</v>
      </c>
      <c r="G52" t="s">
        <v>134</v>
      </c>
      <c r="H52">
        <v>445</v>
      </c>
      <c r="I52">
        <v>19.3057977528089</v>
      </c>
      <c r="J52">
        <v>0</v>
      </c>
      <c r="K52">
        <v>33.07</v>
      </c>
      <c r="L52">
        <v>184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53</v>
      </c>
      <c r="AS52">
        <v>208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 x14ac:dyDescent="0.45">
      <c r="A53" t="s">
        <v>8</v>
      </c>
      <c r="B53" t="s">
        <v>138</v>
      </c>
      <c r="C53" t="s">
        <v>7</v>
      </c>
      <c r="D53">
        <v>256</v>
      </c>
      <c r="E53" t="s">
        <v>137</v>
      </c>
      <c r="F53" t="s">
        <v>2</v>
      </c>
      <c r="G53" t="s">
        <v>135</v>
      </c>
      <c r="H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 x14ac:dyDescent="0.45">
      <c r="A54" t="s">
        <v>8</v>
      </c>
      <c r="B54" t="s">
        <v>138</v>
      </c>
      <c r="C54" t="s">
        <v>7</v>
      </c>
      <c r="D54">
        <v>256</v>
      </c>
      <c r="E54" t="s">
        <v>137</v>
      </c>
      <c r="F54" t="s">
        <v>2</v>
      </c>
      <c r="G54" t="s">
        <v>143</v>
      </c>
      <c r="H54">
        <v>445</v>
      </c>
      <c r="I54">
        <v>0</v>
      </c>
      <c r="J54">
        <v>0</v>
      </c>
      <c r="K54">
        <v>0</v>
      </c>
      <c r="L54">
        <v>445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 x14ac:dyDescent="0.45">
      <c r="A55" t="s">
        <v>8</v>
      </c>
      <c r="B55" t="s">
        <v>138</v>
      </c>
      <c r="C55" t="s">
        <v>7</v>
      </c>
      <c r="D55">
        <v>256</v>
      </c>
      <c r="E55" t="s">
        <v>137</v>
      </c>
      <c r="F55" t="s">
        <v>2</v>
      </c>
      <c r="G55" t="s">
        <v>134</v>
      </c>
      <c r="H55">
        <v>445</v>
      </c>
      <c r="I55">
        <v>0</v>
      </c>
      <c r="J55">
        <v>0</v>
      </c>
      <c r="K55">
        <v>0</v>
      </c>
      <c r="L55">
        <v>445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 x14ac:dyDescent="0.45">
      <c r="A56" t="s">
        <v>9</v>
      </c>
      <c r="B56" t="s">
        <v>139</v>
      </c>
      <c r="C56" t="s">
        <v>5</v>
      </c>
      <c r="D56">
        <v>96</v>
      </c>
      <c r="E56" t="s">
        <v>133</v>
      </c>
      <c r="F56" t="s">
        <v>0</v>
      </c>
      <c r="G56" t="s">
        <v>135</v>
      </c>
      <c r="H56">
        <v>340</v>
      </c>
      <c r="I56">
        <v>45.853029411764702</v>
      </c>
      <c r="J56">
        <v>13.64</v>
      </c>
      <c r="K56">
        <v>57.58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13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52</v>
      </c>
      <c r="BK56">
        <v>10</v>
      </c>
      <c r="BL56">
        <v>0</v>
      </c>
      <c r="BM56">
        <v>0</v>
      </c>
      <c r="BN56">
        <v>0</v>
      </c>
      <c r="BO56">
        <v>23</v>
      </c>
      <c r="BP56">
        <v>131</v>
      </c>
      <c r="BQ56">
        <v>0</v>
      </c>
      <c r="BR56">
        <v>22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</row>
    <row r="57" spans="1:112" x14ac:dyDescent="0.45">
      <c r="A57" t="s">
        <v>9</v>
      </c>
      <c r="B57" t="s">
        <v>139</v>
      </c>
      <c r="C57" t="s">
        <v>5</v>
      </c>
      <c r="D57">
        <v>96</v>
      </c>
      <c r="E57" t="s">
        <v>133</v>
      </c>
      <c r="F57" t="s">
        <v>0</v>
      </c>
      <c r="G57" t="s">
        <v>143</v>
      </c>
      <c r="H57">
        <v>1657</v>
      </c>
      <c r="I57">
        <v>6.1360229330114597</v>
      </c>
      <c r="J57">
        <v>0</v>
      </c>
      <c r="K57">
        <v>40.35</v>
      </c>
      <c r="L57">
        <v>1103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224</v>
      </c>
      <c r="U57">
        <v>0</v>
      </c>
      <c r="V57">
        <v>0</v>
      </c>
      <c r="W57">
        <v>46</v>
      </c>
      <c r="X57">
        <v>10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13</v>
      </c>
      <c r="AJ57">
        <v>0</v>
      </c>
      <c r="AK57">
        <v>5</v>
      </c>
      <c r="AL57">
        <v>0</v>
      </c>
      <c r="AM57">
        <v>220</v>
      </c>
      <c r="AN57">
        <v>0</v>
      </c>
      <c r="AO57">
        <v>0</v>
      </c>
      <c r="AP57">
        <v>0</v>
      </c>
      <c r="AQ57">
        <v>7</v>
      </c>
      <c r="AR57">
        <v>0</v>
      </c>
      <c r="AS57">
        <v>20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</row>
    <row r="58" spans="1:112" x14ac:dyDescent="0.45">
      <c r="A58" t="s">
        <v>9</v>
      </c>
      <c r="B58" t="s">
        <v>139</v>
      </c>
      <c r="C58" t="s">
        <v>5</v>
      </c>
      <c r="D58">
        <v>96</v>
      </c>
      <c r="E58" t="s">
        <v>133</v>
      </c>
      <c r="F58" t="s">
        <v>0</v>
      </c>
      <c r="G58" t="s">
        <v>134</v>
      </c>
      <c r="H58">
        <v>1997</v>
      </c>
      <c r="I58">
        <v>12.8980570856284</v>
      </c>
      <c r="J58">
        <v>0</v>
      </c>
      <c r="K58">
        <v>57.58</v>
      </c>
      <c r="L58">
        <v>1103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224</v>
      </c>
      <c r="U58">
        <v>0</v>
      </c>
      <c r="V58">
        <v>0</v>
      </c>
      <c r="W58">
        <v>46</v>
      </c>
      <c r="X58">
        <v>10</v>
      </c>
      <c r="Y58">
        <v>0</v>
      </c>
      <c r="Z58">
        <v>13</v>
      </c>
      <c r="AA58">
        <v>0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13</v>
      </c>
      <c r="AJ58">
        <v>0</v>
      </c>
      <c r="AK58">
        <v>5</v>
      </c>
      <c r="AL58">
        <v>0</v>
      </c>
      <c r="AM58">
        <v>306</v>
      </c>
      <c r="AN58">
        <v>0</v>
      </c>
      <c r="AO58">
        <v>0</v>
      </c>
      <c r="AP58">
        <v>0</v>
      </c>
      <c r="AQ58">
        <v>7</v>
      </c>
      <c r="AR58">
        <v>0</v>
      </c>
      <c r="AS58">
        <v>20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52</v>
      </c>
      <c r="BK58">
        <v>10</v>
      </c>
      <c r="BL58">
        <v>0</v>
      </c>
      <c r="BM58">
        <v>0</v>
      </c>
      <c r="BN58">
        <v>0</v>
      </c>
      <c r="BO58">
        <v>23</v>
      </c>
      <c r="BP58">
        <v>131</v>
      </c>
      <c r="BQ58">
        <v>0</v>
      </c>
      <c r="BR58">
        <v>22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</row>
    <row r="59" spans="1:112" x14ac:dyDescent="0.45">
      <c r="A59" t="s">
        <v>9</v>
      </c>
      <c r="B59" t="s">
        <v>139</v>
      </c>
      <c r="C59" t="s">
        <v>5</v>
      </c>
      <c r="D59">
        <v>96</v>
      </c>
      <c r="E59" t="s">
        <v>136</v>
      </c>
      <c r="F59" t="s">
        <v>1</v>
      </c>
      <c r="G59" t="s">
        <v>135</v>
      </c>
      <c r="H59">
        <v>102</v>
      </c>
      <c r="I59">
        <v>26.932352941176401</v>
      </c>
      <c r="J59">
        <v>15.79</v>
      </c>
      <c r="K59">
        <v>27.27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99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</row>
    <row r="60" spans="1:112" x14ac:dyDescent="0.45">
      <c r="A60" t="s">
        <v>9</v>
      </c>
      <c r="B60" t="s">
        <v>139</v>
      </c>
      <c r="C60" t="s">
        <v>5</v>
      </c>
      <c r="D60">
        <v>96</v>
      </c>
      <c r="E60" t="s">
        <v>136</v>
      </c>
      <c r="F60" t="s">
        <v>1</v>
      </c>
      <c r="G60" t="s">
        <v>143</v>
      </c>
      <c r="H60">
        <v>1895</v>
      </c>
      <c r="I60">
        <v>15.006158311345599</v>
      </c>
      <c r="J60">
        <v>0</v>
      </c>
      <c r="K60">
        <v>27.27</v>
      </c>
      <c r="L60">
        <v>750</v>
      </c>
      <c r="M60">
        <v>0</v>
      </c>
      <c r="N60">
        <v>0</v>
      </c>
      <c r="O60">
        <v>88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</row>
    <row r="61" spans="1:112" x14ac:dyDescent="0.45">
      <c r="A61" t="s">
        <v>9</v>
      </c>
      <c r="B61" t="s">
        <v>139</v>
      </c>
      <c r="C61" t="s">
        <v>5</v>
      </c>
      <c r="D61">
        <v>96</v>
      </c>
      <c r="E61" t="s">
        <v>136</v>
      </c>
      <c r="F61" t="s">
        <v>1</v>
      </c>
      <c r="G61" t="s">
        <v>134</v>
      </c>
      <c r="H61">
        <v>1997</v>
      </c>
      <c r="I61">
        <v>15.6153079619429</v>
      </c>
      <c r="J61">
        <v>0</v>
      </c>
      <c r="K61">
        <v>27.27</v>
      </c>
      <c r="L61">
        <v>750</v>
      </c>
      <c r="M61">
        <v>0</v>
      </c>
      <c r="N61">
        <v>0</v>
      </c>
      <c r="O61">
        <v>88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1099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</row>
    <row r="62" spans="1:112" x14ac:dyDescent="0.45">
      <c r="A62" t="s">
        <v>9</v>
      </c>
      <c r="B62" t="s">
        <v>139</v>
      </c>
      <c r="C62" t="s">
        <v>5</v>
      </c>
      <c r="D62">
        <v>96</v>
      </c>
      <c r="E62" t="s">
        <v>137</v>
      </c>
      <c r="F62" t="s">
        <v>2</v>
      </c>
      <c r="G62" t="s">
        <v>135</v>
      </c>
      <c r="H62">
        <v>224</v>
      </c>
      <c r="I62">
        <v>22.9340625</v>
      </c>
      <c r="J62">
        <v>14.58</v>
      </c>
      <c r="K62">
        <v>28.65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45</v>
      </c>
      <c r="AB62">
        <v>0</v>
      </c>
      <c r="AC62">
        <v>0</v>
      </c>
      <c r="AD62">
        <v>0</v>
      </c>
      <c r="AE62">
        <v>31</v>
      </c>
      <c r="AF62">
        <v>0</v>
      </c>
      <c r="AG62">
        <v>0</v>
      </c>
      <c r="AH62">
        <v>0</v>
      </c>
      <c r="AI62">
        <v>0</v>
      </c>
      <c r="AJ62">
        <v>76</v>
      </c>
      <c r="AK62">
        <v>0</v>
      </c>
      <c r="AL62">
        <v>0</v>
      </c>
      <c r="AM62">
        <v>0</v>
      </c>
      <c r="AN62">
        <v>0</v>
      </c>
      <c r="AO62">
        <v>72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</row>
    <row r="63" spans="1:112" x14ac:dyDescent="0.45">
      <c r="A63" t="s">
        <v>9</v>
      </c>
      <c r="B63" t="s">
        <v>139</v>
      </c>
      <c r="C63" t="s">
        <v>5</v>
      </c>
      <c r="D63">
        <v>96</v>
      </c>
      <c r="E63" t="s">
        <v>137</v>
      </c>
      <c r="F63" t="s">
        <v>2</v>
      </c>
      <c r="G63" t="s">
        <v>143</v>
      </c>
      <c r="H63">
        <v>1773</v>
      </c>
      <c r="I63">
        <v>4.4212915961646901</v>
      </c>
      <c r="J63">
        <v>0</v>
      </c>
      <c r="K63">
        <v>44.01</v>
      </c>
      <c r="L63">
        <v>1562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68</v>
      </c>
      <c r="AR63">
        <v>18</v>
      </c>
      <c r="AS63">
        <v>0</v>
      </c>
      <c r="AT63">
        <v>0</v>
      </c>
      <c r="AU63">
        <v>0</v>
      </c>
      <c r="AV63">
        <v>23</v>
      </c>
      <c r="AW63">
        <v>0</v>
      </c>
      <c r="AX63">
        <v>0</v>
      </c>
      <c r="AY63">
        <v>0</v>
      </c>
      <c r="AZ63">
        <v>24</v>
      </c>
      <c r="BA63">
        <v>0</v>
      </c>
      <c r="BB63">
        <v>0</v>
      </c>
      <c r="BC63">
        <v>0</v>
      </c>
      <c r="BD63">
        <v>73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</row>
    <row r="64" spans="1:112" x14ac:dyDescent="0.45">
      <c r="A64" t="s">
        <v>9</v>
      </c>
      <c r="B64" t="s">
        <v>139</v>
      </c>
      <c r="C64" t="s">
        <v>5</v>
      </c>
      <c r="D64">
        <v>96</v>
      </c>
      <c r="E64" t="s">
        <v>137</v>
      </c>
      <c r="F64" t="s">
        <v>2</v>
      </c>
      <c r="G64" t="s">
        <v>134</v>
      </c>
      <c r="H64">
        <v>1997</v>
      </c>
      <c r="I64">
        <v>6.4978367551326901</v>
      </c>
      <c r="J64">
        <v>0</v>
      </c>
      <c r="K64">
        <v>44.01</v>
      </c>
      <c r="L64">
        <v>1562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45</v>
      </c>
      <c r="AB64">
        <v>0</v>
      </c>
      <c r="AC64">
        <v>0</v>
      </c>
      <c r="AD64">
        <v>0</v>
      </c>
      <c r="AE64">
        <v>31</v>
      </c>
      <c r="AF64">
        <v>0</v>
      </c>
      <c r="AG64">
        <v>0</v>
      </c>
      <c r="AH64">
        <v>0</v>
      </c>
      <c r="AI64">
        <v>0</v>
      </c>
      <c r="AJ64">
        <v>76</v>
      </c>
      <c r="AK64">
        <v>5</v>
      </c>
      <c r="AL64">
        <v>0</v>
      </c>
      <c r="AM64">
        <v>0</v>
      </c>
      <c r="AN64">
        <v>0</v>
      </c>
      <c r="AO64">
        <v>72</v>
      </c>
      <c r="AP64">
        <v>0</v>
      </c>
      <c r="AQ64">
        <v>68</v>
      </c>
      <c r="AR64">
        <v>18</v>
      </c>
      <c r="AS64">
        <v>0</v>
      </c>
      <c r="AT64">
        <v>0</v>
      </c>
      <c r="AU64">
        <v>0</v>
      </c>
      <c r="AV64">
        <v>23</v>
      </c>
      <c r="AW64">
        <v>0</v>
      </c>
      <c r="AX64">
        <v>0</v>
      </c>
      <c r="AY64">
        <v>0</v>
      </c>
      <c r="AZ64">
        <v>24</v>
      </c>
      <c r="BA64">
        <v>0</v>
      </c>
      <c r="BB64">
        <v>0</v>
      </c>
      <c r="BC64">
        <v>0</v>
      </c>
      <c r="BD64">
        <v>73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</row>
    <row r="65" spans="1:112" x14ac:dyDescent="0.45">
      <c r="A65" t="s">
        <v>9</v>
      </c>
      <c r="B65" t="s">
        <v>139</v>
      </c>
      <c r="C65" t="s">
        <v>6</v>
      </c>
      <c r="D65">
        <v>128</v>
      </c>
      <c r="E65" t="s">
        <v>133</v>
      </c>
      <c r="F65" t="s">
        <v>0</v>
      </c>
      <c r="G65" t="s">
        <v>135</v>
      </c>
      <c r="H65">
        <v>522</v>
      </c>
      <c r="I65">
        <v>33.594444444444399</v>
      </c>
      <c r="J65">
        <v>12.28</v>
      </c>
      <c r="K65">
        <v>57.58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13</v>
      </c>
      <c r="Y65">
        <v>0</v>
      </c>
      <c r="Z65">
        <v>18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</v>
      </c>
      <c r="AK65">
        <v>0</v>
      </c>
      <c r="AL65">
        <v>0</v>
      </c>
      <c r="AM65">
        <v>187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10</v>
      </c>
      <c r="AX65">
        <v>206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22</v>
      </c>
      <c r="BF65">
        <v>0</v>
      </c>
      <c r="BG65">
        <v>10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9</v>
      </c>
      <c r="BN65">
        <v>0</v>
      </c>
      <c r="BO65">
        <v>16</v>
      </c>
      <c r="BP65">
        <v>0</v>
      </c>
      <c r="BQ65">
        <v>0</v>
      </c>
      <c r="BR65">
        <v>11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</row>
    <row r="66" spans="1:112" x14ac:dyDescent="0.45">
      <c r="A66" t="s">
        <v>9</v>
      </c>
      <c r="B66" t="s">
        <v>139</v>
      </c>
      <c r="C66" t="s">
        <v>6</v>
      </c>
      <c r="D66">
        <v>128</v>
      </c>
      <c r="E66" t="s">
        <v>133</v>
      </c>
      <c r="F66" t="s">
        <v>0</v>
      </c>
      <c r="G66" t="s">
        <v>143</v>
      </c>
      <c r="H66">
        <v>1162</v>
      </c>
      <c r="I66">
        <v>8.4104216867469805</v>
      </c>
      <c r="J66">
        <v>0</v>
      </c>
      <c r="K66">
        <v>40.35</v>
      </c>
      <c r="L66">
        <v>808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5</v>
      </c>
      <c r="AL66">
        <v>0</v>
      </c>
      <c r="AM66">
        <v>334</v>
      </c>
      <c r="AN66">
        <v>0</v>
      </c>
      <c r="AO66">
        <v>0</v>
      </c>
      <c r="AP66">
        <v>0</v>
      </c>
      <c r="AQ66">
        <v>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8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</row>
    <row r="67" spans="1:112" x14ac:dyDescent="0.45">
      <c r="A67" t="s">
        <v>9</v>
      </c>
      <c r="B67" t="s">
        <v>139</v>
      </c>
      <c r="C67" t="s">
        <v>6</v>
      </c>
      <c r="D67">
        <v>128</v>
      </c>
      <c r="E67" t="s">
        <v>133</v>
      </c>
      <c r="F67" t="s">
        <v>0</v>
      </c>
      <c r="G67" t="s">
        <v>134</v>
      </c>
      <c r="H67">
        <v>1684</v>
      </c>
      <c r="I67">
        <v>16.216870546318201</v>
      </c>
      <c r="J67">
        <v>0</v>
      </c>
      <c r="K67">
        <v>57.58</v>
      </c>
      <c r="L67">
        <v>808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13</v>
      </c>
      <c r="Y67">
        <v>0</v>
      </c>
      <c r="Z67">
        <v>18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20</v>
      </c>
      <c r="AK67">
        <v>5</v>
      </c>
      <c r="AL67">
        <v>0</v>
      </c>
      <c r="AM67">
        <v>521</v>
      </c>
      <c r="AN67">
        <v>0</v>
      </c>
      <c r="AO67">
        <v>0</v>
      </c>
      <c r="AP67">
        <v>0</v>
      </c>
      <c r="AQ67">
        <v>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10</v>
      </c>
      <c r="AX67">
        <v>206</v>
      </c>
      <c r="AY67">
        <v>0</v>
      </c>
      <c r="AZ67">
        <v>8</v>
      </c>
      <c r="BA67">
        <v>0</v>
      </c>
      <c r="BB67">
        <v>0</v>
      </c>
      <c r="BC67">
        <v>0</v>
      </c>
      <c r="BD67">
        <v>0</v>
      </c>
      <c r="BE67">
        <v>22</v>
      </c>
      <c r="BF67">
        <v>0</v>
      </c>
      <c r="BG67">
        <v>10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9</v>
      </c>
      <c r="BN67">
        <v>0</v>
      </c>
      <c r="BO67">
        <v>16</v>
      </c>
      <c r="BP67">
        <v>0</v>
      </c>
      <c r="BQ67">
        <v>0</v>
      </c>
      <c r="BR67">
        <v>11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</row>
    <row r="68" spans="1:112" x14ac:dyDescent="0.45">
      <c r="A68" t="s">
        <v>9</v>
      </c>
      <c r="B68" t="s">
        <v>139</v>
      </c>
      <c r="C68" t="s">
        <v>6</v>
      </c>
      <c r="D68">
        <v>128</v>
      </c>
      <c r="E68" t="s">
        <v>136</v>
      </c>
      <c r="F68" t="s">
        <v>1</v>
      </c>
      <c r="G68" t="s">
        <v>135</v>
      </c>
      <c r="H68">
        <v>238</v>
      </c>
      <c r="I68">
        <v>26.642941176470501</v>
      </c>
      <c r="J68">
        <v>15.79</v>
      </c>
      <c r="K68">
        <v>27.27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225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</row>
    <row r="69" spans="1:112" x14ac:dyDescent="0.45">
      <c r="A69" t="s">
        <v>9</v>
      </c>
      <c r="B69" t="s">
        <v>139</v>
      </c>
      <c r="C69" t="s">
        <v>6</v>
      </c>
      <c r="D69">
        <v>128</v>
      </c>
      <c r="E69" t="s">
        <v>136</v>
      </c>
      <c r="F69" t="s">
        <v>1</v>
      </c>
      <c r="G69" t="s">
        <v>143</v>
      </c>
      <c r="H69">
        <v>1446</v>
      </c>
      <c r="I69">
        <v>16.806009681881001</v>
      </c>
      <c r="J69">
        <v>0</v>
      </c>
      <c r="K69">
        <v>27.27</v>
      </c>
      <c r="L69">
        <v>499</v>
      </c>
      <c r="M69">
        <v>0</v>
      </c>
      <c r="N69">
        <v>0</v>
      </c>
      <c r="O69">
        <v>42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861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</row>
    <row r="70" spans="1:112" x14ac:dyDescent="0.45">
      <c r="A70" t="s">
        <v>9</v>
      </c>
      <c r="B70" t="s">
        <v>139</v>
      </c>
      <c r="C70" t="s">
        <v>6</v>
      </c>
      <c r="D70">
        <v>128</v>
      </c>
      <c r="E70" t="s">
        <v>136</v>
      </c>
      <c r="F70" t="s">
        <v>1</v>
      </c>
      <c r="G70" t="s">
        <v>134</v>
      </c>
      <c r="H70">
        <v>1684</v>
      </c>
      <c r="I70">
        <v>18.1962648456057</v>
      </c>
      <c r="J70">
        <v>0</v>
      </c>
      <c r="K70">
        <v>27.27</v>
      </c>
      <c r="L70">
        <v>499</v>
      </c>
      <c r="M70">
        <v>0</v>
      </c>
      <c r="N70">
        <v>0</v>
      </c>
      <c r="O70">
        <v>42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57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1086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</row>
    <row r="71" spans="1:112" x14ac:dyDescent="0.45">
      <c r="A71" t="s">
        <v>9</v>
      </c>
      <c r="B71" t="s">
        <v>139</v>
      </c>
      <c r="C71" t="s">
        <v>6</v>
      </c>
      <c r="D71">
        <v>128</v>
      </c>
      <c r="E71" t="s">
        <v>137</v>
      </c>
      <c r="F71" t="s">
        <v>2</v>
      </c>
      <c r="G71" t="s">
        <v>135</v>
      </c>
      <c r="H71">
        <v>120</v>
      </c>
      <c r="I71">
        <v>36.679000000000002</v>
      </c>
      <c r="J71">
        <v>33.85</v>
      </c>
      <c r="K71">
        <v>37.76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24</v>
      </c>
      <c r="AU71">
        <v>0</v>
      </c>
      <c r="AV71">
        <v>23</v>
      </c>
      <c r="AW71">
        <v>0</v>
      </c>
      <c r="AX71">
        <v>73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</row>
    <row r="72" spans="1:112" x14ac:dyDescent="0.45">
      <c r="A72" t="s">
        <v>9</v>
      </c>
      <c r="B72" t="s">
        <v>139</v>
      </c>
      <c r="C72" t="s">
        <v>6</v>
      </c>
      <c r="D72">
        <v>128</v>
      </c>
      <c r="E72" t="s">
        <v>137</v>
      </c>
      <c r="F72" t="s">
        <v>2</v>
      </c>
      <c r="G72" t="s">
        <v>143</v>
      </c>
      <c r="H72">
        <v>1564</v>
      </c>
      <c r="I72">
        <v>1.81024296675191</v>
      </c>
      <c r="J72">
        <v>0</v>
      </c>
      <c r="K72">
        <v>32.29</v>
      </c>
      <c r="L72">
        <v>1473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68</v>
      </c>
      <c r="AR72">
        <v>18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</row>
    <row r="73" spans="1:112" x14ac:dyDescent="0.45">
      <c r="A73" t="s">
        <v>9</v>
      </c>
      <c r="B73" t="s">
        <v>139</v>
      </c>
      <c r="C73" t="s">
        <v>6</v>
      </c>
      <c r="D73">
        <v>128</v>
      </c>
      <c r="E73" t="s">
        <v>137</v>
      </c>
      <c r="F73" t="s">
        <v>2</v>
      </c>
      <c r="G73" t="s">
        <v>134</v>
      </c>
      <c r="H73">
        <v>1684</v>
      </c>
      <c r="I73">
        <v>4.2949524940617501</v>
      </c>
      <c r="J73">
        <v>0</v>
      </c>
      <c r="K73">
        <v>37.76</v>
      </c>
      <c r="L73">
        <v>1473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68</v>
      </c>
      <c r="AR73">
        <v>18</v>
      </c>
      <c r="AS73">
        <v>0</v>
      </c>
      <c r="AT73">
        <v>24</v>
      </c>
      <c r="AU73">
        <v>0</v>
      </c>
      <c r="AV73">
        <v>23</v>
      </c>
      <c r="AW73">
        <v>0</v>
      </c>
      <c r="AX73">
        <v>73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</row>
    <row r="74" spans="1:112" x14ac:dyDescent="0.45">
      <c r="A74" t="s">
        <v>9</v>
      </c>
      <c r="B74" t="s">
        <v>139</v>
      </c>
      <c r="C74" t="s">
        <v>7</v>
      </c>
      <c r="D74">
        <v>256</v>
      </c>
      <c r="E74" t="s">
        <v>133</v>
      </c>
      <c r="F74" t="s">
        <v>0</v>
      </c>
      <c r="G74" t="s">
        <v>135</v>
      </c>
      <c r="H74">
        <v>314</v>
      </c>
      <c r="I74">
        <v>29.172515923566799</v>
      </c>
      <c r="J74">
        <v>13.64</v>
      </c>
      <c r="K74">
        <v>54.55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16</v>
      </c>
      <c r="AA74">
        <v>0</v>
      </c>
      <c r="AB74">
        <v>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244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7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14</v>
      </c>
      <c r="BF74">
        <v>0</v>
      </c>
      <c r="BG74">
        <v>8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</row>
    <row r="75" spans="1:112" x14ac:dyDescent="0.45">
      <c r="A75" t="s">
        <v>9</v>
      </c>
      <c r="B75" t="s">
        <v>139</v>
      </c>
      <c r="C75" t="s">
        <v>7</v>
      </c>
      <c r="D75">
        <v>256</v>
      </c>
      <c r="E75" t="s">
        <v>133</v>
      </c>
      <c r="F75" t="s">
        <v>0</v>
      </c>
      <c r="G75" t="s">
        <v>143</v>
      </c>
      <c r="H75">
        <v>667</v>
      </c>
      <c r="I75">
        <v>8.1769115442278792</v>
      </c>
      <c r="J75">
        <v>0</v>
      </c>
      <c r="K75">
        <v>27.27</v>
      </c>
      <c r="L75">
        <v>467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200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</row>
    <row r="76" spans="1:112" x14ac:dyDescent="0.45">
      <c r="A76" t="s">
        <v>9</v>
      </c>
      <c r="B76" t="s">
        <v>139</v>
      </c>
      <c r="C76" t="s">
        <v>7</v>
      </c>
      <c r="D76">
        <v>256</v>
      </c>
      <c r="E76" t="s">
        <v>133</v>
      </c>
      <c r="F76" t="s">
        <v>0</v>
      </c>
      <c r="G76" t="s">
        <v>134</v>
      </c>
      <c r="H76">
        <v>981</v>
      </c>
      <c r="I76">
        <v>14.8972171253822</v>
      </c>
      <c r="J76">
        <v>0</v>
      </c>
      <c r="K76">
        <v>54.55</v>
      </c>
      <c r="L76">
        <v>467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16</v>
      </c>
      <c r="AA76">
        <v>0</v>
      </c>
      <c r="AB76">
        <v>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444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7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14</v>
      </c>
      <c r="BF76">
        <v>0</v>
      </c>
      <c r="BG76">
        <v>8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</row>
    <row r="77" spans="1:112" x14ac:dyDescent="0.45">
      <c r="A77" t="s">
        <v>9</v>
      </c>
      <c r="B77" t="s">
        <v>139</v>
      </c>
      <c r="C77" t="s">
        <v>7</v>
      </c>
      <c r="D77">
        <v>256</v>
      </c>
      <c r="E77" t="s">
        <v>136</v>
      </c>
      <c r="F77" t="s">
        <v>1</v>
      </c>
      <c r="G77" t="s">
        <v>135</v>
      </c>
      <c r="H77">
        <v>269</v>
      </c>
      <c r="I77">
        <v>26.8859107806691</v>
      </c>
      <c r="J77">
        <v>15.79</v>
      </c>
      <c r="K77">
        <v>27.27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260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</row>
    <row r="78" spans="1:112" x14ac:dyDescent="0.45">
      <c r="A78" t="s">
        <v>9</v>
      </c>
      <c r="B78" t="s">
        <v>139</v>
      </c>
      <c r="C78" t="s">
        <v>7</v>
      </c>
      <c r="D78">
        <v>256</v>
      </c>
      <c r="E78" t="s">
        <v>136</v>
      </c>
      <c r="F78" t="s">
        <v>1</v>
      </c>
      <c r="G78" t="s">
        <v>143</v>
      </c>
      <c r="H78">
        <v>712</v>
      </c>
      <c r="I78">
        <v>20.2489466292134</v>
      </c>
      <c r="J78">
        <v>0</v>
      </c>
      <c r="K78">
        <v>27.27</v>
      </c>
      <c r="L78">
        <v>177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520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 x14ac:dyDescent="0.45">
      <c r="A79" t="s">
        <v>9</v>
      </c>
      <c r="B79" t="s">
        <v>139</v>
      </c>
      <c r="C79" t="s">
        <v>7</v>
      </c>
      <c r="D79">
        <v>256</v>
      </c>
      <c r="E79" t="s">
        <v>136</v>
      </c>
      <c r="F79" t="s">
        <v>1</v>
      </c>
      <c r="G79" t="s">
        <v>134</v>
      </c>
      <c r="H79">
        <v>981</v>
      </c>
      <c r="I79">
        <v>22.068868501529</v>
      </c>
      <c r="J79">
        <v>0</v>
      </c>
      <c r="K79">
        <v>27.27</v>
      </c>
      <c r="L79">
        <v>177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780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 x14ac:dyDescent="0.45">
      <c r="A80" t="s">
        <v>9</v>
      </c>
      <c r="B80" t="s">
        <v>139</v>
      </c>
      <c r="C80" t="s">
        <v>7</v>
      </c>
      <c r="D80">
        <v>256</v>
      </c>
      <c r="E80" t="s">
        <v>137</v>
      </c>
      <c r="F80" t="s">
        <v>2</v>
      </c>
      <c r="G80" t="s">
        <v>135</v>
      </c>
      <c r="H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 x14ac:dyDescent="0.45">
      <c r="A81" t="s">
        <v>9</v>
      </c>
      <c r="B81" t="s">
        <v>139</v>
      </c>
      <c r="C81" t="s">
        <v>7</v>
      </c>
      <c r="D81">
        <v>256</v>
      </c>
      <c r="E81" t="s">
        <v>137</v>
      </c>
      <c r="F81" t="s">
        <v>2</v>
      </c>
      <c r="G81" t="s">
        <v>143</v>
      </c>
      <c r="H81">
        <v>981</v>
      </c>
      <c r="I81">
        <v>0</v>
      </c>
      <c r="J81">
        <v>0</v>
      </c>
      <c r="K81">
        <v>0</v>
      </c>
      <c r="L81">
        <v>981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 x14ac:dyDescent="0.45">
      <c r="A82" t="s">
        <v>9</v>
      </c>
      <c r="B82" t="s">
        <v>139</v>
      </c>
      <c r="C82" t="s">
        <v>7</v>
      </c>
      <c r="D82">
        <v>256</v>
      </c>
      <c r="E82" t="s">
        <v>137</v>
      </c>
      <c r="F82" t="s">
        <v>2</v>
      </c>
      <c r="G82" t="s">
        <v>134</v>
      </c>
      <c r="H82">
        <v>981</v>
      </c>
      <c r="I82">
        <v>0</v>
      </c>
      <c r="J82">
        <v>0</v>
      </c>
      <c r="K82">
        <v>0</v>
      </c>
      <c r="L82">
        <v>981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PeakMem</vt:lpstr>
      <vt:lpstr>Accuracy</vt:lpstr>
      <vt:lpstr>Inference lat.</vt:lpstr>
      <vt:lpstr>Search time</vt:lpstr>
      <vt:lpstr>reduction_dist.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CHIAYIN LIU</cp:lastModifiedBy>
  <dcterms:created xsi:type="dcterms:W3CDTF">2026-03-23T02:57:42Z</dcterms:created>
  <dcterms:modified xsi:type="dcterms:W3CDTF">2026-04-27T14:56:28Z</dcterms:modified>
</cp:coreProperties>
</file>